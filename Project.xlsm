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ffe\code\scrum\assignment1\Scrum-Project\"/>
    </mc:Choice>
  </mc:AlternateContent>
  <xr:revisionPtr revIDLastSave="0" documentId="8_{09FAA579-2E04-4FA5-A18A-271AE9030725}" xr6:coauthVersionLast="45" xr6:coauthVersionMax="45" xr10:uidLastSave="{00000000-0000-0000-0000-000000000000}"/>
  <bookViews>
    <workbookView xWindow="-108" yWindow="-108" windowWidth="23256" windowHeight="13176" activeTab="1" xr2:uid="{1D1495B3-0B35-441E-97A9-660D7737D429}"/>
  </bookViews>
  <sheets>
    <sheet name="Sprint 1" sheetId="1" r:id="rId1"/>
    <sheet name="RetrospektiveSprint1" sheetId="11" r:id="rId2"/>
    <sheet name="Sprint 2" sheetId="8" r:id="rId3"/>
    <sheet name="RetrospektiveSprint2" sheetId="12" r:id="rId4"/>
    <sheet name="Sprint 3" sheetId="9" state="hidden" r:id="rId5"/>
    <sheet name="RetrospektiveSprint3" sheetId="13" state="hidden" r:id="rId6"/>
    <sheet name="Sprint 0" sheetId="10" state="hidden" r:id="rId7"/>
  </sheets>
  <definedNames>
    <definedName name="datumVärden" localSheetId="6">OFFSET('Sprint 0'!$D$4,0,0,COUNT('Sprint 0'!$D$4:$D$20),1)</definedName>
    <definedName name="datumVärden" localSheetId="2">OFFSET('Sprint 2'!$D$4,0,0,COUNT('Sprint 2'!$D$4:$D$20),1)</definedName>
    <definedName name="datumVärden" localSheetId="4">OFFSET('Sprint 3'!$D$4,0,0,COUNT('Sprint 3'!$D$4:$D$20),1)</definedName>
    <definedName name="datumVärden">OFFSET('Sprint 1'!$D$4,0,0,COUNT('Sprint 1'!$D$4:$D$20),1)</definedName>
    <definedName name="lastSaved" localSheetId="6">'Sprint 0'!$L$1</definedName>
    <definedName name="lastSaved" localSheetId="2">'Sprint 2'!$L$1</definedName>
    <definedName name="lastSaved" localSheetId="4">'Sprint 3'!$L$1</definedName>
    <definedName name="lastSaved">'Sprint 1'!$L$1</definedName>
    <definedName name="poängKvar" localSheetId="6">OFFSET('Sprint 0'!datumVärden,0,3)</definedName>
    <definedName name="poängKvar" localSheetId="2">OFFSET('Sprint 2'!datumVärden,0,3)</definedName>
    <definedName name="poängKvar" localSheetId="4">OFFSET('Sprint 3'!datumVärden,0,3)</definedName>
    <definedName name="poängKvar">OFFSET(datumVärden,0,3)</definedName>
    <definedName name="totalPointsCell" localSheetId="6">'Sprint 0'!$B$21</definedName>
    <definedName name="totalPointsCell" localSheetId="2">'Sprint 2'!$B$21</definedName>
    <definedName name="totalPointsCell" localSheetId="4">'Sprint 3'!$B$21</definedName>
    <definedName name="totalPointsCell">'Sprint 1'!$B$21</definedName>
    <definedName name="totalPoäng" localSheetId="6">OFFSET('Sprint 0'!datumVärden,0,1)</definedName>
    <definedName name="totalPoäng" localSheetId="2">OFFSET('Sprint 2'!datumVärden,0,1)</definedName>
    <definedName name="totalPoäng" localSheetId="4">OFFSET('Sprint 3'!datumVärden,0,1)</definedName>
    <definedName name="totalPoäng">OFFSET(datumVärden,0,1)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0" l="1"/>
  <c r="D21" i="10"/>
  <c r="B21" i="10"/>
  <c r="E4" i="10" s="1"/>
  <c r="E5" i="10" s="1"/>
  <c r="E6" i="10" s="1"/>
  <c r="E7" i="10" s="1"/>
  <c r="E8" i="10" s="1"/>
  <c r="E20" i="10"/>
  <c r="E19" i="10"/>
  <c r="E18" i="10"/>
  <c r="E17" i="10"/>
  <c r="E16" i="10"/>
  <c r="E15" i="10"/>
  <c r="E14" i="10"/>
  <c r="E13" i="10"/>
  <c r="E12" i="10"/>
  <c r="E11" i="10"/>
  <c r="E10" i="10"/>
  <c r="E9" i="10"/>
  <c r="F21" i="9"/>
  <c r="D21" i="9"/>
  <c r="B21" i="9"/>
  <c r="G4" i="9" s="1"/>
  <c r="G5" i="9" s="1"/>
  <c r="G6" i="9" s="1"/>
  <c r="G7" i="9" s="1"/>
  <c r="G8" i="9" s="1"/>
  <c r="G9" i="9" s="1"/>
  <c r="G10" i="9" s="1"/>
  <c r="G11" i="9" s="1"/>
  <c r="G12" i="9" s="1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F21" i="8"/>
  <c r="D21" i="8"/>
  <c r="B21" i="8"/>
  <c r="G4" i="8" s="1"/>
  <c r="G5" i="8" s="1"/>
  <c r="G6" i="8" s="1"/>
  <c r="G7" i="8" s="1"/>
  <c r="G8" i="8" s="1"/>
  <c r="G9" i="8" s="1"/>
  <c r="G10" i="8" s="1"/>
  <c r="G11" i="8" s="1"/>
  <c r="G12" i="8" s="1"/>
  <c r="E20" i="8"/>
  <c r="E19" i="8"/>
  <c r="E18" i="8"/>
  <c r="E17" i="8"/>
  <c r="E16" i="8"/>
  <c r="E15" i="8"/>
  <c r="E14" i="8"/>
  <c r="E13" i="8"/>
  <c r="E12" i="8"/>
  <c r="E11" i="8"/>
  <c r="E10" i="8"/>
  <c r="E9" i="8"/>
  <c r="G4" i="10" l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E4" i="8"/>
  <c r="E5" i="8" s="1"/>
  <c r="E6" i="8" s="1"/>
  <c r="E7" i="8" s="1"/>
  <c r="E8" i="8" s="1"/>
  <c r="G13" i="9"/>
  <c r="G14" i="9" s="1"/>
  <c r="G15" i="9" s="1"/>
  <c r="G16" i="9" s="1"/>
  <c r="G17" i="9" s="1"/>
  <c r="G18" i="9" s="1"/>
  <c r="G19" i="9" s="1"/>
  <c r="G20" i="9" s="1"/>
  <c r="E4" i="9"/>
  <c r="E5" i="9" s="1"/>
  <c r="G13" i="8"/>
  <c r="G14" i="8" s="1"/>
  <c r="G15" i="8" s="1"/>
  <c r="G16" i="8" s="1"/>
  <c r="G17" i="8" s="1"/>
  <c r="G18" i="8" s="1"/>
  <c r="G19" i="8" s="1"/>
  <c r="G20" i="8" s="1"/>
  <c r="E20" i="1"/>
  <c r="E19" i="1"/>
  <c r="E18" i="1"/>
  <c r="E17" i="1"/>
  <c r="E16" i="1"/>
  <c r="E15" i="1"/>
  <c r="E14" i="1"/>
  <c r="E13" i="1"/>
  <c r="E12" i="1"/>
  <c r="B21" i="1"/>
  <c r="E4" i="1" s="1"/>
  <c r="E5" i="1" s="1"/>
  <c r="E6" i="1" s="1"/>
  <c r="E7" i="1" s="1"/>
  <c r="E8" i="1" s="1"/>
  <c r="E9" i="1" s="1"/>
  <c r="E10" i="1" s="1"/>
  <c r="E11" i="1" s="1"/>
  <c r="D21" i="1"/>
  <c r="F21" i="1"/>
  <c r="G21" i="10" l="1"/>
  <c r="M23" i="10"/>
  <c r="M23" i="9"/>
  <c r="G21" i="9"/>
  <c r="G21" i="8"/>
  <c r="M23" i="8"/>
  <c r="G4" i="1"/>
  <c r="G5" i="1" s="1"/>
  <c r="G6" i="1" s="1"/>
  <c r="G7" i="1" s="1"/>
  <c r="G8" i="1" l="1"/>
  <c r="G9" i="1" s="1"/>
  <c r="G10" i="1" s="1"/>
  <c r="G11" i="1" s="1"/>
  <c r="G12" i="1" s="1"/>
  <c r="G13" i="1" l="1"/>
  <c r="G14" i="1" s="1"/>
  <c r="G15" i="1" s="1"/>
  <c r="G16" i="1" s="1"/>
  <c r="G17" i="1" s="1"/>
  <c r="G18" i="1" s="1"/>
  <c r="G19" i="1" s="1"/>
  <c r="G20" i="1" s="1"/>
  <c r="G21" i="1" l="1"/>
  <c r="M23" i="1"/>
</calcChain>
</file>

<file path=xl/sharedStrings.xml><?xml version="1.0" encoding="utf-8"?>
<sst xmlns="http://schemas.openxmlformats.org/spreadsheetml/2006/main" count="38" uniqueCount="19">
  <si>
    <t>Dagar i Sprint</t>
  </si>
  <si>
    <t>vecka</t>
  </si>
  <si>
    <t>Points done</t>
  </si>
  <si>
    <t>Points left</t>
  </si>
  <si>
    <t>Totalpoints</t>
  </si>
  <si>
    <t>Points progress per day in Sprint 1</t>
  </si>
  <si>
    <t>Total points Backlog</t>
  </si>
  <si>
    <t>Trello</t>
  </si>
  <si>
    <t>Saved: 2019-12-19, kl. 13:42:31</t>
  </si>
  <si>
    <t>Points progress per day in Sprint 2</t>
  </si>
  <si>
    <t>Points progress per day in Sprint 3</t>
  </si>
  <si>
    <t>Saved: 2019-12-20, kl. 11:04:13</t>
  </si>
  <si>
    <t>Points progress per day in Sprint 0</t>
  </si>
  <si>
    <t>Hala Mohammed</t>
  </si>
  <si>
    <t>Peter Sundberg</t>
  </si>
  <si>
    <t>Khalifa Negash</t>
  </si>
  <si>
    <t>Sima Ahmedi</t>
  </si>
  <si>
    <t>Grupp Ronneby:</t>
  </si>
  <si>
    <t>Saved: 2019-12-23, kl. 09:50:11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</si>
</sst>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0"/>
      <color rgb="FFFF0000"/>
      <name val="Calibri"/>
      <family val="2"/>
    </font>
    <font>
      <sz val="11"/>
      <color theme="0" tint="-0.34998626667073579"/>
      <name val="Calibri"/>
      <family val="2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gradientFill degree="180">
        <stop position="0">
          <color theme="0"/>
        </stop>
        <stop position="1">
          <color theme="0" tint="-0.1490218817712943"/>
        </stop>
      </gradient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14" fontId="4" fillId="4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14" fontId="0" fillId="6" borderId="11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2" fillId="0" borderId="0" xfId="0" applyFont="1"/>
    <xf numFmtId="0" fontId="2" fillId="0" borderId="5" xfId="0" applyFont="1" applyBorder="1" applyAlignment="1">
      <alignment horizontal="center" vertical="center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  <color rgb="FF008000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1'!$D$2:$G$2</c:f>
          <c:strCache>
            <c:ptCount val="4"/>
            <c:pt idx="0">
              <c:v>Points progress per day in Sprint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1'!$B$3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[0]!datumVärden</c:f>
              <c:numCache>
                <c:formatCode>m/d/yyyy</c:formatCode>
                <c:ptCount val="5"/>
                <c:pt idx="0">
                  <c:v>43809</c:v>
                </c:pt>
                <c:pt idx="1">
                  <c:v>43811</c:v>
                </c:pt>
                <c:pt idx="2">
                  <c:v>43816</c:v>
                </c:pt>
                <c:pt idx="3">
                  <c:v>43817</c:v>
                </c:pt>
                <c:pt idx="4">
                  <c:v>43819</c:v>
                </c:pt>
              </c:numCache>
            </c:numRef>
          </c:cat>
          <c:val>
            <c:numRef>
              <c:f>'Sprint 1'!$B$21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1-47FC-9030-058622833AC9}"/>
            </c:ext>
          </c:extLst>
        </c:ser>
        <c:ser>
          <c:idx val="1"/>
          <c:order val="1"/>
          <c:tx>
            <c:strRef>
              <c:f>'Sprint 1'!$D$3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[0]!datumVärden</c:f>
              <c:numCache>
                <c:formatCode>m/d/yyyy</c:formatCode>
                <c:ptCount val="5"/>
                <c:pt idx="0">
                  <c:v>43809</c:v>
                </c:pt>
                <c:pt idx="1">
                  <c:v>43811</c:v>
                </c:pt>
                <c:pt idx="2">
                  <c:v>43816</c:v>
                </c:pt>
                <c:pt idx="3">
                  <c:v>43817</c:v>
                </c:pt>
                <c:pt idx="4">
                  <c:v>43819</c:v>
                </c:pt>
              </c:numCache>
            </c:numRef>
          </c:cat>
          <c:val>
            <c:numRef>
              <c:f>[0]!datumVärden</c:f>
              <c:numCache>
                <c:formatCode>m/d/yyyy</c:formatCode>
                <c:ptCount val="5"/>
                <c:pt idx="0">
                  <c:v>43809</c:v>
                </c:pt>
                <c:pt idx="1">
                  <c:v>43811</c:v>
                </c:pt>
                <c:pt idx="2">
                  <c:v>43816</c:v>
                </c:pt>
                <c:pt idx="3">
                  <c:v>43817</c:v>
                </c:pt>
                <c:pt idx="4">
                  <c:v>43819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1-47FC-9030-058622833AC9}"/>
            </c:ext>
          </c:extLst>
        </c:ser>
        <c:ser>
          <c:idx val="2"/>
          <c:order val="2"/>
          <c:tx>
            <c:strRef>
              <c:f>'Sprint 1'!$G$3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[0]!datumVärden</c:f>
              <c:numCache>
                <c:formatCode>m/d/yyyy</c:formatCode>
                <c:ptCount val="5"/>
                <c:pt idx="0">
                  <c:v>43809</c:v>
                </c:pt>
                <c:pt idx="1">
                  <c:v>43811</c:v>
                </c:pt>
                <c:pt idx="2">
                  <c:v>43816</c:v>
                </c:pt>
                <c:pt idx="3">
                  <c:v>43817</c:v>
                </c:pt>
                <c:pt idx="4">
                  <c:v>43819</c:v>
                </c:pt>
              </c:numCache>
            </c:numRef>
          </c:cat>
          <c:val>
            <c:numRef>
              <c:f>[0]!poängKvar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F1-47FC-9030-058622833AC9}"/>
            </c:ext>
          </c:extLst>
        </c:ser>
        <c:ser>
          <c:idx val="3"/>
          <c:order val="3"/>
          <c:tx>
            <c:strRef>
              <c:f>'Sprint 1'!$E$3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[0]!datumVärden</c:f>
              <c:numCache>
                <c:formatCode>m/d/yyyy</c:formatCode>
                <c:ptCount val="5"/>
                <c:pt idx="0">
                  <c:v>43809</c:v>
                </c:pt>
                <c:pt idx="1">
                  <c:v>43811</c:v>
                </c:pt>
                <c:pt idx="2">
                  <c:v>43816</c:v>
                </c:pt>
                <c:pt idx="3">
                  <c:v>43817</c:v>
                </c:pt>
                <c:pt idx="4">
                  <c:v>43819</c:v>
                </c:pt>
              </c:numCache>
            </c:numRef>
          </c:cat>
          <c:val>
            <c:numRef>
              <c:f>[0]!totalPoäng</c:f>
              <c:numCache>
                <c:formatCode>General</c:formatCode>
                <c:ptCount val="5"/>
                <c:pt idx="0">
                  <c:v>14</c:v>
                </c:pt>
                <c:pt idx="1">
                  <c:v>11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F1-47FC-9030-058622833A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2'!$D$2:$G$2</c:f>
          <c:strCache>
            <c:ptCount val="4"/>
            <c:pt idx="0">
              <c:v>Points progress per day in Sprint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2'!$B$3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</c:numCache>
            </c:numRef>
          </c:cat>
          <c:val>
            <c:numRef>
              <c:f>'Sprint 2'!$B$21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5-48A2-832C-99E4E59267D7}"/>
            </c:ext>
          </c:extLst>
        </c:ser>
        <c:ser>
          <c:idx val="1"/>
          <c:order val="1"/>
          <c:tx>
            <c:strRef>
              <c:f>'Sprint 2'!$D$3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</c:numCache>
            </c:numRef>
          </c:cat>
          <c:val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C5-48A2-832C-99E4E59267D7}"/>
            </c:ext>
          </c:extLst>
        </c:ser>
        <c:ser>
          <c:idx val="2"/>
          <c:order val="2"/>
          <c:tx>
            <c:strRef>
              <c:f>'Sprint 2'!$G$3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</c:numCache>
            </c:numRef>
          </c:cat>
          <c:val>
            <c:numRef>
              <c:f>'Sprint 2'!$G$4:$G$8</c:f>
              <c:numCache>
                <c:formatCode>General</c:formatCode>
                <c:ptCount val="5"/>
                <c:pt idx="0">
                  <c:v>16</c:v>
                </c:pt>
                <c:pt idx="1">
                  <c:v>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5-48A2-832C-99E4E59267D7}"/>
            </c:ext>
          </c:extLst>
        </c:ser>
        <c:ser>
          <c:idx val="3"/>
          <c:order val="3"/>
          <c:tx>
            <c:strRef>
              <c:f>'Sprint 2'!$E$3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</c:numCache>
            </c:numRef>
          </c:cat>
          <c:val>
            <c:numRef>
              <c:f>'Sprint 2'!$E$4:$E$8</c:f>
              <c:numCache>
                <c:formatCode>General</c:formatCode>
                <c:ptCount val="5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C5-48A2-832C-99E4E5926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3'!$D$2:$G$2</c:f>
          <c:strCache>
            <c:ptCount val="4"/>
            <c:pt idx="0">
              <c:v>Points progress per day in Sprint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3'!$B$3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F-459B-914F-32A2498ADC2D}"/>
            </c:ext>
          </c:extLst>
        </c:ser>
        <c:ser>
          <c:idx val="1"/>
          <c:order val="1"/>
          <c:tx>
            <c:strRef>
              <c:f>'Sprint 3'!$D$3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F-459B-914F-32A2498ADC2D}"/>
            </c:ext>
          </c:extLst>
        </c:ser>
        <c:ser>
          <c:idx val="2"/>
          <c:order val="2"/>
          <c:tx>
            <c:strRef>
              <c:f>'Sprint 3'!$G$3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3'!$G$4:$G$8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F-459B-914F-32A2498ADC2D}"/>
            </c:ext>
          </c:extLst>
        </c:ser>
        <c:ser>
          <c:idx val="3"/>
          <c:order val="3"/>
          <c:tx>
            <c:strRef>
              <c:f>'Sprint 3'!$E$3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3F-459B-914F-32A2498AD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0'!$D$2:$G$2</c:f>
          <c:strCache>
            <c:ptCount val="4"/>
            <c:pt idx="0">
              <c:v>Points progress per day in Sprint 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0'!$B$3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D-4CBA-8093-104804551816}"/>
            </c:ext>
          </c:extLst>
        </c:ser>
        <c:ser>
          <c:idx val="1"/>
          <c:order val="1"/>
          <c:tx>
            <c:strRef>
              <c:f>'Sprint 0'!$D$3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D-4CBA-8093-104804551816}"/>
            </c:ext>
          </c:extLst>
        </c:ser>
        <c:ser>
          <c:idx val="2"/>
          <c:order val="2"/>
          <c:tx>
            <c:strRef>
              <c:f>'Sprint 0'!$G$3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0'!$G$4:$G$8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D-4CBA-8093-104804551816}"/>
            </c:ext>
          </c:extLst>
        </c:ser>
        <c:ser>
          <c:idx val="3"/>
          <c:order val="3"/>
          <c:tx>
            <c:strRef>
              <c:f>'Sprint 0'!$E$3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D-4CBA-8093-104804551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876194C1-1E93-4412-AD5E-E3FA40713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7" name="textruta 6">
          <a:extLst>
            <a:ext uri="{FF2B5EF4-FFF2-40B4-BE49-F238E27FC236}">
              <a16:creationId xmlns:a16="http://schemas.microsoft.com/office/drawing/2014/main" id="{01B7D344-709D-4FC9-9AE7-9BA71803CF47}"/>
            </a:ext>
          </a:extLst>
        </xdr:cNvPr>
        <xdr:cNvSpPr txBox="1"/>
      </xdr:nvSpPr>
      <xdr:spPr>
        <a:xfrm>
          <a:off x="113614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25</xdr:row>
      <xdr:rowOff>0</xdr:rowOff>
    </xdr:to>
    <xdr:sp macro="[0]!setY_axel_MaximumValue" textlink="">
      <xdr:nvSpPr>
        <xdr:cNvPr id="4" name="Rektangel: rundade hörn 3">
          <a:extLst>
            <a:ext uri="{FF2B5EF4-FFF2-40B4-BE49-F238E27FC236}">
              <a16:creationId xmlns:a16="http://schemas.microsoft.com/office/drawing/2014/main" id="{CD7DA6DC-7891-419B-B730-88AB103D4A8E}"/>
            </a:ext>
          </a:extLst>
        </xdr:cNvPr>
        <xdr:cNvSpPr/>
      </xdr:nvSpPr>
      <xdr:spPr>
        <a:xfrm>
          <a:off x="259080" y="4023360"/>
          <a:ext cx="121158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8" name="Rektangel: rundade hörn 7">
          <a:extLst>
            <a:ext uri="{FF2B5EF4-FFF2-40B4-BE49-F238E27FC236}">
              <a16:creationId xmlns:a16="http://schemas.microsoft.com/office/drawing/2014/main" id="{D1FC6316-35BA-4FB2-BBD3-B7149BF5F4FC}"/>
            </a:ext>
          </a:extLst>
        </xdr:cNvPr>
        <xdr:cNvSpPr/>
      </xdr:nvSpPr>
      <xdr:spPr>
        <a:xfrm>
          <a:off x="526542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DBFBBBA0-6498-48E5-8156-2C0C5057272F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Sprint1 Retrospektive</a:t>
          </a:r>
        </a:p>
        <a:p>
          <a:endParaRPr lang="sv-SE" sz="1100"/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körde inte igång med projektet förrän några dagar in i kursen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därför betades inga poäng av den 10 och 12 dec., och vi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valde ett ganska enkelt projekt eftersom kodningen inte var det viktigaste i det här. </a:t>
          </a:r>
        </a:p>
        <a:p>
          <a:endParaRPr lang="sv-SE">
            <a:effectLst/>
          </a:endParaRPr>
        </a:p>
        <a:p>
          <a:pPr eaLnBrk="1" fontAlgn="auto" latinLnBrk="0" hangingPunct="1"/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Vad gjorde vi bra?:</a:t>
          </a:r>
          <a:endParaRPr lang="sv-SE">
            <a:effectLst/>
          </a:endParaRPr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Startade med att skapa en lista; "Ideas" för att lägga in ALLT vi kom på,</a:t>
          </a:r>
          <a:endParaRPr lang="sv-SE">
            <a:effectLst/>
          </a:endParaRPr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och plocka från. I Trello skapade vi en Backlog för resp. Sprint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för att hålla reda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på vilket kort som tillhörde var allt eftersom det flyttades framåt i kedjan.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Skrev en beskrivning i varje kort.</a:t>
          </a:r>
        </a:p>
        <a:p>
          <a:endParaRPr lang="sv-SE">
            <a:effectLst/>
          </a:endParaRPr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Vad vill vi förbättra?:</a:t>
          </a:r>
          <a:endParaRPr lang="sv-SE">
            <a:effectLst/>
          </a:endParaRPr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Förbättring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kan vara att sätta bättre poäng på korten, tänka på att likvärdiga uppgifter ger samma poäng beroende på hur mycket jobb det kräver.</a:t>
          </a:r>
        </a:p>
        <a:p>
          <a:endParaRPr lang="sv-SE">
            <a:effectLst/>
          </a:endParaRPr>
        </a:p>
        <a:p>
          <a:pPr eaLnBrk="1" fontAlgn="auto" latinLnBrk="0" hangingPunct="1"/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Vad ska vi börja med?: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Brainstorma fram, och skriva upp, alla idéer som kan vara med som uppgift (kort) inom projektet, och placera ut dessa i den Sprint de ska vara i under projektet.</a:t>
          </a:r>
        </a:p>
        <a:p>
          <a:endParaRPr lang="sv-SE">
            <a:effectLst/>
          </a:endParaRPr>
        </a:p>
        <a:p>
          <a:pPr eaLnBrk="1" fontAlgn="auto" latinLnBrk="0" hangingPunct="1"/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Vad ska vi sluta med?:</a:t>
          </a:r>
          <a:endParaRPr lang="sv-SE">
            <a:effectLst/>
          </a:endParaRPr>
        </a:p>
        <a:p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Det sista är att kontrollera allt som gjorts under Sprinten så att det ser ut,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och fungerar, som </a:t>
          </a: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planerat att det ska göra.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16910EA3-C395-43BD-AF16-B363E6F7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F4DB52B5-1031-42D7-A9B5-8999B09513BC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E41573A2-8326-4E4A-857D-6504B248E2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2E62C301-4E7A-4684-84E3-5716DDDE1FC5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D3B69649-70B3-4E20-8F91-6CC6D7552AFC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Sprint2 Retrospektive</a:t>
          </a:r>
        </a:p>
        <a:p>
          <a:endParaRPr lang="sv-SE" sz="1100"/>
        </a:p>
        <a:p>
          <a:r>
            <a:rPr lang="sv-SE" sz="1100"/>
            <a:t>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34C21860-9857-4E25-82CD-B18D9BD64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56A1F8E3-BDF9-400F-9BBC-F99DC2B4B65E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52025356-E9EB-41E9-87F4-1392C5CEEA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E0567E74-AC36-4064-BFCC-B8C25AB510B6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B2D5ABB-4F00-47BA-8BEF-A1048B25F1C6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Sprint3 Retrospektive</a:t>
          </a:r>
        </a:p>
        <a:p>
          <a:endParaRPr lang="sv-SE" sz="1100"/>
        </a:p>
        <a:p>
          <a:r>
            <a:rPr lang="sv-SE" sz="1100"/>
            <a:t>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121920</xdr:colOff>
      <xdr:row>24</xdr:row>
      <xdr:rowOff>83820</xdr:rowOff>
    </xdr:from>
    <xdr:to>
      <xdr:col>20</xdr:col>
      <xdr:colOff>525780</xdr:colOff>
      <xdr:row>43</xdr:row>
      <xdr:rowOff>17145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8BFF7360-405A-4CE3-82B8-5BA5AB19B47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4472940"/>
          <a:ext cx="5760720" cy="340804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D12891D4-3FB5-44F3-8567-BC62781FC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F32D3A1-87F5-40CC-B514-D2421D4698FF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3C667CAC-69C7-442D-B0B2-EE0566AF05E6}"/>
            </a:ext>
          </a:extLst>
        </xdr:cNvPr>
        <xdr:cNvSpPr/>
      </xdr:nvSpPr>
      <xdr:spPr>
        <a:xfrm>
          <a:off x="259080" y="4023360"/>
          <a:ext cx="121158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A285801B-4A53-468B-9EDD-F11A07D055BC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  <xdr:twoCellAnchor>
    <xdr:from>
      <xdr:col>4</xdr:col>
      <xdr:colOff>167640</xdr:colOff>
      <xdr:row>21</xdr:row>
      <xdr:rowOff>99060</xdr:rowOff>
    </xdr:from>
    <xdr:to>
      <xdr:col>8</xdr:col>
      <xdr:colOff>198120</xdr:colOff>
      <xdr:row>27</xdr:row>
      <xdr:rowOff>99060</xdr:rowOff>
    </xdr:to>
    <xdr:sp macro="" textlink="">
      <xdr:nvSpPr>
        <xdr:cNvPr id="8" name="textruta 7">
          <a:extLst>
            <a:ext uri="{FF2B5EF4-FFF2-40B4-BE49-F238E27FC236}">
              <a16:creationId xmlns:a16="http://schemas.microsoft.com/office/drawing/2014/main" id="{30BEB88C-31A1-4F46-A8AC-4BBB6EA39D99}"/>
            </a:ext>
          </a:extLst>
        </xdr:cNvPr>
        <xdr:cNvSpPr txBox="1"/>
      </xdr:nvSpPr>
      <xdr:spPr>
        <a:xfrm>
          <a:off x="2705100" y="3939540"/>
          <a:ext cx="2362200" cy="109728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sv-SE" sz="1400" b="1"/>
            <a:t>MALL</a:t>
          </a:r>
          <a:endParaRPr lang="sv-SE" sz="1100" baseline="0"/>
        </a:p>
      </xdr:txBody>
    </xdr:sp>
    <xdr:clientData/>
  </xdr:twoCellAnchor>
  <xdr:twoCellAnchor>
    <xdr:from>
      <xdr:col>0</xdr:col>
      <xdr:colOff>91440</xdr:colOff>
      <xdr:row>7</xdr:row>
      <xdr:rowOff>53340</xdr:rowOff>
    </xdr:from>
    <xdr:to>
      <xdr:col>6</xdr:col>
      <xdr:colOff>251460</xdr:colOff>
      <xdr:row>15</xdr:row>
      <xdr:rowOff>30480</xdr:rowOff>
    </xdr:to>
    <xdr:sp macro="" textlink="">
      <xdr:nvSpPr>
        <xdr:cNvPr id="9" name="textruta 8">
          <a:extLst>
            <a:ext uri="{FF2B5EF4-FFF2-40B4-BE49-F238E27FC236}">
              <a16:creationId xmlns:a16="http://schemas.microsoft.com/office/drawing/2014/main" id="{3EC76FD2-922F-4924-BC30-011E79F4FD1D}"/>
            </a:ext>
          </a:extLst>
        </xdr:cNvPr>
        <xdr:cNvSpPr txBox="1"/>
      </xdr:nvSpPr>
      <xdr:spPr>
        <a:xfrm>
          <a:off x="91440" y="1333500"/>
          <a:ext cx="3992880" cy="1440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kommer köra via teams i julhelgen och även måndagen den 30/12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innan måndag 30/1 mailar mig era burndowncharts.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mailar mig utfallet på ert retrospektive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gjorde ni bra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Vilka delar ska ni förbättra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börja med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sluta med</a:t>
          </a:r>
        </a:p>
        <a:p>
          <a:endParaRPr lang="sv-SE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ello.com/sv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s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trello.com/sv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trello.com/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3B9D9-5C23-4A78-A1CD-86DA8460F361}">
  <sheetPr codeName="Blad1">
    <tabColor rgb="FF008000"/>
  </sheetPr>
  <dimension ref="B1:N23"/>
  <sheetViews>
    <sheetView showGridLines="0" workbookViewId="0">
      <selection activeCell="F24" sqref="F24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7</v>
      </c>
      <c r="L1" s="34" t="s">
        <v>18</v>
      </c>
    </row>
    <row r="2" spans="2:12" x14ac:dyDescent="0.3">
      <c r="D2" s="36" t="s">
        <v>5</v>
      </c>
      <c r="E2" s="36"/>
      <c r="F2" s="36"/>
      <c r="G2" s="36"/>
    </row>
    <row r="3" spans="2:12" x14ac:dyDescent="0.3">
      <c r="B3" s="17" t="s">
        <v>6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3">
        <v>2</v>
      </c>
      <c r="D4" s="18">
        <v>43809</v>
      </c>
      <c r="E4" s="24">
        <f>B21</f>
        <v>14</v>
      </c>
      <c r="F4" s="10"/>
      <c r="G4" s="28">
        <f>IF($B$21&gt;=F4,$B$21-F4,"-")</f>
        <v>14</v>
      </c>
    </row>
    <row r="5" spans="2:12" x14ac:dyDescent="0.3">
      <c r="B5" s="14">
        <v>3</v>
      </c>
      <c r="D5" s="19">
        <v>43811</v>
      </c>
      <c r="E5" s="25">
        <f>IF(D5&lt;&gt;"",IF(AND(ISNUMBER(D5),E4-(E4/COUNT(D5:$D$20))&gt;0),ROUND(E4-(E4/COUNT(D5:$D$20)),0),0),"-")</f>
        <v>11</v>
      </c>
      <c r="F5" s="11"/>
      <c r="G5" s="29">
        <f>IF(AND(ISNUMBER(D5),G4&lt;&gt;""),IF(AND(ISNUMBER(F5),G4-F5&gt;=0),G4-F5,G4),"-")</f>
        <v>14</v>
      </c>
    </row>
    <row r="6" spans="2:12" x14ac:dyDescent="0.3">
      <c r="B6" s="14">
        <v>3</v>
      </c>
      <c r="D6" s="19">
        <v>43816</v>
      </c>
      <c r="E6" s="25">
        <f>IF(D6&lt;&gt;"",IF(AND(ISNUMBER(D6),E5-(E5/COUNT(D6:$D$20))&gt;0),ROUND(E5-(E5/COUNT(D6:$D$20)),0),0),"-")</f>
        <v>7</v>
      </c>
      <c r="F6" s="11">
        <v>6</v>
      </c>
      <c r="G6" s="29">
        <f t="shared" ref="G6:G20" si="0">IF(AND(ISNUMBER(D6),G5&lt;&gt;""),IF(AND(ISNUMBER(F6),G5-F6&gt;=0),G5-F6,G5),"-")</f>
        <v>8</v>
      </c>
    </row>
    <row r="7" spans="2:12" x14ac:dyDescent="0.3">
      <c r="B7" s="14">
        <v>3</v>
      </c>
      <c r="D7" s="19">
        <v>43817</v>
      </c>
      <c r="E7" s="25">
        <f>IF(D7&lt;&gt;"",IF(AND(ISNUMBER(D7),E6-(E6/COUNT(D7:$D$20))&gt;0),ROUND(E6-(E6/COUNT(D7:$D$20)),0),0),"-")</f>
        <v>4</v>
      </c>
      <c r="F7" s="11">
        <v>6</v>
      </c>
      <c r="G7" s="29">
        <f t="shared" si="0"/>
        <v>2</v>
      </c>
    </row>
    <row r="8" spans="2:12" x14ac:dyDescent="0.3">
      <c r="B8" s="14">
        <v>3</v>
      </c>
      <c r="D8" s="19">
        <v>43819</v>
      </c>
      <c r="E8" s="25">
        <f>IF(D8&lt;&gt;"",IF(AND(ISNUMBER(D8),E7-(E7/COUNT(D8:$D$20))&gt;0),ROUND(E7-(E7/COUNT(D8:$D$20)),0),0),"-")</f>
        <v>0</v>
      </c>
      <c r="F8" s="11">
        <v>2</v>
      </c>
      <c r="G8" s="29">
        <f t="shared" si="0"/>
        <v>0</v>
      </c>
    </row>
    <row r="9" spans="2:12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14</v>
      </c>
      <c r="D21" s="21" t="str">
        <f>COUNT(D4:D20) &amp; " dgr"</f>
        <v>5 dgr</v>
      </c>
      <c r="E21" s="2"/>
      <c r="F21" s="16">
        <f>SUM(F4:F20)</f>
        <v>14</v>
      </c>
      <c r="G21" s="2">
        <f>LOOKUP(9.99999999999999E+307,G4:G20)</f>
        <v>0</v>
      </c>
    </row>
    <row r="23" spans="2:14" x14ac:dyDescent="0.3">
      <c r="L23" s="31"/>
      <c r="M23" s="32" t="str">
        <f>LOOKUP(9.99999999999999E+307,G4:G20) &amp; " points left!"</f>
        <v>0 points left!</v>
      </c>
      <c r="N23" s="31"/>
    </row>
  </sheetData>
  <sheetProtection sheet="1" objects="1" scenarios="1" formatCells="0"/>
  <mergeCells count="1">
    <mergeCell ref="D2:G2"/>
  </mergeCells>
  <dataValidations xWindow="67" yWindow="572" count="1">
    <dataValidation allowBlank="1" showErrorMessage="1" sqref="B21" xr:uid="{9B0C1EA8-D91E-424B-8DFF-B40AA4E5FDE3}"/>
  </dataValidations>
  <hyperlinks>
    <hyperlink ref="B1" r:id="rId1" tooltip="Logga in på Trello ..." xr:uid="{33E48F9F-E0EE-4B42-B366-EFECB9C2741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6FC76-424D-468C-89F4-A608D8AB35D0}">
  <sheetPr codeName="Blad5">
    <tabColor rgb="FF008000"/>
  </sheetPr>
  <dimension ref="J1:J5"/>
  <sheetViews>
    <sheetView showGridLines="0" tabSelected="1" workbookViewId="0">
      <selection activeCell="K9" sqref="K9"/>
    </sheetView>
  </sheetViews>
  <sheetFormatPr defaultRowHeight="14.4" x14ac:dyDescent="0.3"/>
  <sheetData>
    <row r="1" spans="10:10" x14ac:dyDescent="0.3">
      <c r="J1" s="35" t="s">
        <v>17</v>
      </c>
    </row>
    <row r="2" spans="10:10" x14ac:dyDescent="0.3">
      <c r="J2" t="s">
        <v>13</v>
      </c>
    </row>
    <row r="3" spans="10:10" x14ac:dyDescent="0.3">
      <c r="J3" t="s">
        <v>14</v>
      </c>
    </row>
    <row r="4" spans="10:10" x14ac:dyDescent="0.3">
      <c r="J4" t="s">
        <v>15</v>
      </c>
    </row>
    <row r="5" spans="10:10" x14ac:dyDescent="0.3">
      <c r="J5" t="s">
        <v>16</v>
      </c>
    </row>
  </sheetData>
  <sheetProtection sheet="1" objects="1" scenarios="1" formatCells="0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4E80-AC9C-421A-9F46-1134CFFBCA3C}">
  <sheetPr codeName="Blad2">
    <tabColor rgb="FFFFFF00"/>
  </sheetPr>
  <dimension ref="B1:N23"/>
  <sheetViews>
    <sheetView showGridLines="0" workbookViewId="0">
      <selection activeCell="G24" sqref="G24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7</v>
      </c>
      <c r="L1" s="34" t="s">
        <v>8</v>
      </c>
    </row>
    <row r="2" spans="2:12" x14ac:dyDescent="0.3">
      <c r="D2" s="36" t="s">
        <v>9</v>
      </c>
      <c r="E2" s="36"/>
      <c r="F2" s="36"/>
      <c r="G2" s="36"/>
    </row>
    <row r="3" spans="2:12" x14ac:dyDescent="0.3">
      <c r="B3" s="17" t="s">
        <v>6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4">
        <v>3</v>
      </c>
      <c r="D4" s="18">
        <v>43822</v>
      </c>
      <c r="E4" s="24">
        <f>B21</f>
        <v>16</v>
      </c>
      <c r="F4" s="10"/>
      <c r="G4" s="28">
        <f>IF($B$21&gt;=F4,$B$21-F4,"-")</f>
        <v>16</v>
      </c>
    </row>
    <row r="5" spans="2:12" x14ac:dyDescent="0.3">
      <c r="B5" s="14">
        <v>3</v>
      </c>
      <c r="D5" s="19">
        <v>43826</v>
      </c>
      <c r="E5" s="25">
        <f>IF(D5&lt;&gt;"",IF(AND(ISNUMBER(D5),E4-(E4/COUNT(D5:$D$20))&gt;0),ROUND(E4-(E4/COUNT(D5:$D$20)),0),0),"-")</f>
        <v>0</v>
      </c>
      <c r="F5" s="11"/>
      <c r="G5" s="29">
        <f>IF(AND(ISNUMBER(D5),G4&lt;&gt;""),IF(AND(ISNUMBER(F5),G4-F5&gt;=0),G4-F5,G4),"-")</f>
        <v>16</v>
      </c>
    </row>
    <row r="6" spans="2:12" x14ac:dyDescent="0.3">
      <c r="B6" s="14">
        <v>2</v>
      </c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12" x14ac:dyDescent="0.3">
      <c r="B7" s="14">
        <v>2</v>
      </c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12" x14ac:dyDescent="0.3">
      <c r="B8" s="14">
        <v>3</v>
      </c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12" x14ac:dyDescent="0.3">
      <c r="B9" s="14">
        <v>3</v>
      </c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16</v>
      </c>
      <c r="D21" s="21" t="str">
        <f>COUNT(D4:D20) &amp; " dgr"</f>
        <v>2 dgr</v>
      </c>
      <c r="E21" s="2"/>
      <c r="F21" s="16">
        <f>SUM(F4:F20)</f>
        <v>0</v>
      </c>
      <c r="G21" s="2">
        <f>LOOKUP(9.99999999999999E+307,G4:G20)</f>
        <v>16</v>
      </c>
    </row>
    <row r="23" spans="2:14" x14ac:dyDescent="0.3">
      <c r="L23" s="31"/>
      <c r="M23" s="32" t="str">
        <f>LOOKUP(9.99999999999999E+307,G4:G20) &amp; " points left!"</f>
        <v>16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14F2F81C-F7FD-455F-B2B4-F37A28833CD6}"/>
  </dataValidations>
  <hyperlinks>
    <hyperlink ref="B1" r:id="rId1" tooltip="Logga in på Trello ..." xr:uid="{47B77AC5-800F-435D-A749-21F50636861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D026-AFE3-45F5-B5BE-A3AC8B98D666}">
  <sheetPr codeName="Blad6">
    <tabColor rgb="FFFFFF00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56C5-3920-4213-A451-56E12FEE4BB1}">
  <sheetPr codeName="Blad3">
    <tabColor rgb="FF0033CC"/>
  </sheetPr>
  <dimension ref="B1:N23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7</v>
      </c>
      <c r="L1" s="34" t="s">
        <v>8</v>
      </c>
    </row>
    <row r="2" spans="2:12" x14ac:dyDescent="0.3">
      <c r="D2" s="36" t="s">
        <v>10</v>
      </c>
      <c r="E2" s="36"/>
      <c r="F2" s="36"/>
      <c r="G2" s="36"/>
    </row>
    <row r="3" spans="2:12" x14ac:dyDescent="0.3">
      <c r="B3" s="17" t="s">
        <v>6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3">
        <v>10</v>
      </c>
      <c r="D4" s="18">
        <v>43829</v>
      </c>
      <c r="E4" s="24">
        <f>B21</f>
        <v>10</v>
      </c>
      <c r="F4" s="10"/>
      <c r="G4" s="28">
        <f>IF($B$21&gt;=F4,$B$21-F4,"-")</f>
        <v>10</v>
      </c>
    </row>
    <row r="5" spans="2:12" x14ac:dyDescent="0.3">
      <c r="B5" s="14"/>
      <c r="D5" s="19">
        <v>43833</v>
      </c>
      <c r="E5" s="25">
        <f>IF(D5&lt;&gt;"",IF(AND(ISNUMBER(D5),E4-(E4/COUNT(D5:$D$20))&gt;0),ROUND(E4-(E4/COUNT(D5:$D$20)),0),0),"-")</f>
        <v>0</v>
      </c>
      <c r="F5" s="11"/>
      <c r="G5" s="29">
        <f>IF(AND(ISNUMBER(D5),G4&lt;&gt;""),IF(AND(ISNUMBER(F5),G4-F5&gt;=0),G4-F5,G4),"-")</f>
        <v>10</v>
      </c>
    </row>
    <row r="6" spans="2:12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12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12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12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10</v>
      </c>
      <c r="D21" s="21" t="str">
        <f>COUNT(D4:D20) &amp; " dgr"</f>
        <v>2 dgr</v>
      </c>
      <c r="E21" s="2"/>
      <c r="F21" s="16">
        <f>SUM(F4:F20)</f>
        <v>0</v>
      </c>
      <c r="G21" s="2">
        <f>LOOKUP(9.99999999999999E+307,G4:G20)</f>
        <v>10</v>
      </c>
    </row>
    <row r="23" spans="2:14" x14ac:dyDescent="0.3">
      <c r="L23" s="31"/>
      <c r="M23" s="32" t="str">
        <f>LOOKUP(9.99999999999999E+307,G4:G20) &amp; " points left!"</f>
        <v>10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490C2BD4-CDE7-4E70-8D95-C0ECC5913FCE}"/>
  </dataValidations>
  <hyperlinks>
    <hyperlink ref="B1" r:id="rId1" tooltip="Logga in på Trello ..." xr:uid="{7FEDE051-AF78-47D1-8018-128C4C6078B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8C22-14E5-4356-A715-352AEEFE8168}">
  <sheetPr codeName="Blad7">
    <tabColor rgb="FF0033CC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843A-1264-4B6C-B962-500F4B4AFA92}">
  <sheetPr codeName="Blad4"/>
  <dimension ref="B1:T25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20" x14ac:dyDescent="0.3">
      <c r="B1" s="33" t="s">
        <v>7</v>
      </c>
      <c r="L1" s="34" t="s">
        <v>11</v>
      </c>
    </row>
    <row r="2" spans="2:20" x14ac:dyDescent="0.3">
      <c r="D2" s="36" t="s">
        <v>12</v>
      </c>
      <c r="E2" s="36"/>
      <c r="F2" s="36"/>
      <c r="G2" s="36"/>
    </row>
    <row r="3" spans="2:20" x14ac:dyDescent="0.3">
      <c r="B3" s="17" t="s">
        <v>6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20" x14ac:dyDescent="0.3">
      <c r="B4" s="13">
        <v>10</v>
      </c>
      <c r="D4" s="18">
        <v>43809</v>
      </c>
      <c r="E4" s="24">
        <f>B21</f>
        <v>10</v>
      </c>
      <c r="F4" s="10">
        <v>1</v>
      </c>
      <c r="G4" s="28">
        <f>IF($B$21&gt;=F4,$B$21-F4,"-")</f>
        <v>9</v>
      </c>
    </row>
    <row r="5" spans="2:20" x14ac:dyDescent="0.3">
      <c r="B5" s="14"/>
      <c r="D5" s="19"/>
      <c r="E5" s="25" t="str">
        <f>IF(D5&lt;&gt;"",IF(AND(ISNUMBER(D5),E4-(E4/COUNT(D5:$D$20))&gt;0),ROUND(E4-(E4/COUNT(D5:$D$20)),0),0),"-")</f>
        <v>-</v>
      </c>
      <c r="F5" s="11"/>
      <c r="G5" s="29" t="str">
        <f>IF(AND(ISNUMBER(D5),G4&lt;&gt;""),IF(AND(ISNUMBER(F5),G4-F5&gt;=0),G4-F5,G4),"-")</f>
        <v>-</v>
      </c>
    </row>
    <row r="6" spans="2:20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20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20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20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20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20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20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  <c r="S12" s="1" t="s">
        <v>1</v>
      </c>
    </row>
    <row r="13" spans="2:20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  <c r="S13" s="6">
        <v>50</v>
      </c>
      <c r="T13" s="7">
        <v>43809</v>
      </c>
    </row>
    <row r="14" spans="2:20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  <c r="S14" s="6">
        <v>50</v>
      </c>
      <c r="T14" s="7">
        <v>43811</v>
      </c>
    </row>
    <row r="15" spans="2:20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  <c r="S15" s="6">
        <v>51</v>
      </c>
      <c r="T15" s="7">
        <v>43816</v>
      </c>
    </row>
    <row r="16" spans="2:20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  <c r="S16" s="6">
        <v>51</v>
      </c>
      <c r="T16" s="7">
        <v>43817</v>
      </c>
    </row>
    <row r="17" spans="2:20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  <c r="S17" s="4">
        <v>51</v>
      </c>
      <c r="T17" s="5">
        <v>43819</v>
      </c>
    </row>
    <row r="18" spans="2:20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  <c r="S18" s="4">
        <v>52</v>
      </c>
      <c r="T18" s="5">
        <v>43822</v>
      </c>
    </row>
    <row r="19" spans="2:20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  <c r="S19" s="4">
        <v>52</v>
      </c>
      <c r="T19" s="5">
        <v>43826</v>
      </c>
    </row>
    <row r="20" spans="2:20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  <c r="S20" s="8">
        <v>1</v>
      </c>
      <c r="T20" s="9">
        <v>43829</v>
      </c>
    </row>
    <row r="21" spans="2:20" x14ac:dyDescent="0.3">
      <c r="B21" s="22">
        <f>SUM(B4:B20)</f>
        <v>10</v>
      </c>
      <c r="D21" s="21" t="str">
        <f>COUNT(D4:D20) &amp; " dgr"</f>
        <v>1 dgr</v>
      </c>
      <c r="E21" s="2"/>
      <c r="F21" s="16">
        <f>SUM(F4:F20)</f>
        <v>1</v>
      </c>
      <c r="G21" s="2">
        <f>LOOKUP(9.99999999999999E+307,G4:G20)</f>
        <v>9</v>
      </c>
      <c r="S21" s="8">
        <v>1</v>
      </c>
      <c r="T21" s="9">
        <v>43833</v>
      </c>
    </row>
    <row r="22" spans="2:20" x14ac:dyDescent="0.3">
      <c r="S22" s="1">
        <v>2</v>
      </c>
      <c r="T22" s="3">
        <v>43838</v>
      </c>
    </row>
    <row r="23" spans="2:20" x14ac:dyDescent="0.3">
      <c r="L23" s="31"/>
      <c r="M23" s="32" t="str">
        <f>LOOKUP(9.99999999999999E+307,G4:G20) &amp; " points left!"</f>
        <v>9 points left!</v>
      </c>
      <c r="N23" s="31"/>
      <c r="S23" s="1">
        <v>2</v>
      </c>
      <c r="T23" s="3">
        <v>43839</v>
      </c>
    </row>
    <row r="24" spans="2:20" x14ac:dyDescent="0.3">
      <c r="S24" s="1">
        <v>2</v>
      </c>
      <c r="T24" s="3">
        <v>43840</v>
      </c>
    </row>
    <row r="25" spans="2:20" x14ac:dyDescent="0.3">
      <c r="T25" s="3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B00A97D0-B2A9-4C6C-BCCE-F76BB359663A}"/>
  </dataValidations>
  <hyperlinks>
    <hyperlink ref="B1" r:id="rId1" tooltip="Logga in på Trello ..." xr:uid="{DA94A8A7-AF71-4AA1-98D4-9D09618777E9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8</vt:i4>
      </vt:variant>
    </vt:vector>
  </HeadingPairs>
  <TitlesOfParts>
    <vt:vector size="15" baseType="lpstr">
      <vt:lpstr>Sprint 1</vt:lpstr>
      <vt:lpstr>RetrospektiveSprint1</vt:lpstr>
      <vt:lpstr>Sprint 2</vt:lpstr>
      <vt:lpstr>RetrospektiveSprint2</vt:lpstr>
      <vt:lpstr>Sprint 3</vt:lpstr>
      <vt:lpstr>RetrospektiveSprint3</vt:lpstr>
      <vt:lpstr>Sprint 0</vt:lpstr>
      <vt:lpstr>'Sprint 0'!lastSaved</vt:lpstr>
      <vt:lpstr>'Sprint 2'!lastSaved</vt:lpstr>
      <vt:lpstr>'Sprint 3'!lastSaved</vt:lpstr>
      <vt:lpstr>lastSaved</vt:lpstr>
      <vt:lpstr>'Sprint 0'!totalPointsCell</vt:lpstr>
      <vt:lpstr>'Sprint 2'!totalPointsCell</vt:lpstr>
      <vt:lpstr>'Sprint 3'!totalPointsCell</vt:lpstr>
      <vt:lpstr>totalPointsCell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Sundberg</dc:creator>
  <cp:lastModifiedBy>Loffe Knutsson</cp:lastModifiedBy>
  <dcterms:created xsi:type="dcterms:W3CDTF">2019-12-18T09:13:55Z</dcterms:created>
  <dcterms:modified xsi:type="dcterms:W3CDTF">2019-12-23T08:50:40Z</dcterms:modified>
</cp:coreProperties>
</file>