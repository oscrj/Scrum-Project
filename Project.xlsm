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ffe\code\scrum\assignment1\Scrum-Project\"/>
    </mc:Choice>
  </mc:AlternateContent>
  <xr:revisionPtr revIDLastSave="0" documentId="13_ncr:1_{BC0004BB-85B4-45C0-BD4E-FC02BC7B57C2}" xr6:coauthVersionLast="45" xr6:coauthVersionMax="45" xr10:uidLastSave="{00000000-0000-0000-0000-000000000000}"/>
  <bookViews>
    <workbookView xWindow="36" yWindow="0" windowWidth="19692" windowHeight="12816" xr2:uid="{1D1495B3-0B35-441E-97A9-660D7737D429}"/>
  </bookViews>
  <sheets>
    <sheet name="Sprint 2" sheetId="8" r:id="rId1"/>
    <sheet name="RetrospectiveSprint2" sheetId="12" r:id="rId2"/>
    <sheet name="Sprint 3" sheetId="9" state="hidden" r:id="rId3"/>
    <sheet name="RetrospektiveSprint3" sheetId="13" state="hidden" r:id="rId4"/>
    <sheet name="Sprint 0" sheetId="10" state="hidden" r:id="rId5"/>
  </sheets>
  <definedNames>
    <definedName name="datumVärden" localSheetId="4">OFFSET('Sprint 0'!$D$4,0,0,COUNT('Sprint 0'!$D$4:$D$20),1)</definedName>
    <definedName name="datumVärden" localSheetId="0">OFFSET('Sprint 2'!$D$4,0,0,COUNT('Sprint 2'!$D$4:$D$20),1)</definedName>
    <definedName name="datumVärden" localSheetId="2">OFFSET('Sprint 3'!$D$4,0,0,COUNT('Sprint 3'!$D$4:$D$20),1)</definedName>
    <definedName name="datumVärden">OFFSET(#REF!,0,0,COUNT(#REF!),1)</definedName>
    <definedName name="lastSaved" localSheetId="4">'Sprint 0'!$L$1</definedName>
    <definedName name="lastSaved" localSheetId="0">'Sprint 2'!$L$1</definedName>
    <definedName name="lastSaved" localSheetId="2">'Sprint 3'!$L$1</definedName>
    <definedName name="lastSaved">#REF!</definedName>
    <definedName name="poängKvar" localSheetId="4">OFFSET('Sprint 0'!datumVärden,0,3)</definedName>
    <definedName name="poängKvar" localSheetId="0">OFFSET('Sprint 2'!datumVärden,0,3)</definedName>
    <definedName name="poängKvar" localSheetId="2">OFFSET('Sprint 3'!datumVärden,0,3)</definedName>
    <definedName name="poängKvar">OFFSET(datumVärden,0,3)</definedName>
    <definedName name="totalPointsCell" localSheetId="4">'Sprint 0'!$B$21</definedName>
    <definedName name="totalPointsCell" localSheetId="0">'Sprint 2'!$B$21</definedName>
    <definedName name="totalPointsCell" localSheetId="2">'Sprint 3'!$B$21</definedName>
    <definedName name="totalPointsCell">#REF!</definedName>
    <definedName name="totalPoäng" localSheetId="4">OFFSET('Sprint 0'!datumVärden,0,1)</definedName>
    <definedName name="totalPoäng" localSheetId="0">OFFSET('Sprint 2'!datumVärden,0,1)</definedName>
    <definedName name="totalPoäng" localSheetId="2">OFFSET('Sprint 3'!datumVärden,0,1)</definedName>
    <definedName name="totalPoäng">OFFSET(datumVärden,0,1)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1" i="10" l="1"/>
  <c r="D21" i="10"/>
  <c r="B21" i="10"/>
  <c r="E4" i="10" s="1"/>
  <c r="E5" i="10" s="1"/>
  <c r="E6" i="10" s="1"/>
  <c r="E7" i="10" s="1"/>
  <c r="E8" i="10" s="1"/>
  <c r="E20" i="10"/>
  <c r="E19" i="10"/>
  <c r="E18" i="10"/>
  <c r="E17" i="10"/>
  <c r="E16" i="10"/>
  <c r="E15" i="10"/>
  <c r="E14" i="10"/>
  <c r="E13" i="10"/>
  <c r="E12" i="10"/>
  <c r="E11" i="10"/>
  <c r="E10" i="10"/>
  <c r="E9" i="10"/>
  <c r="F21" i="9"/>
  <c r="D21" i="9"/>
  <c r="B21" i="9"/>
  <c r="G4" i="9" s="1"/>
  <c r="G5" i="9" s="1"/>
  <c r="G6" i="9" s="1"/>
  <c r="G7" i="9" s="1"/>
  <c r="G8" i="9" s="1"/>
  <c r="G9" i="9" s="1"/>
  <c r="G10" i="9" s="1"/>
  <c r="G11" i="9" s="1"/>
  <c r="G12" i="9" s="1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F21" i="8"/>
  <c r="D21" i="8"/>
  <c r="B21" i="8"/>
  <c r="G4" i="8" s="1"/>
  <c r="G5" i="8" s="1"/>
  <c r="G6" i="8" s="1"/>
  <c r="G7" i="8" s="1"/>
  <c r="G8" i="8" s="1"/>
  <c r="G9" i="8" s="1"/>
  <c r="G10" i="8" s="1"/>
  <c r="G11" i="8" s="1"/>
  <c r="G12" i="8" s="1"/>
  <c r="E20" i="8"/>
  <c r="E19" i="8"/>
  <c r="E18" i="8"/>
  <c r="E17" i="8"/>
  <c r="E16" i="8"/>
  <c r="E15" i="8"/>
  <c r="E14" i="8"/>
  <c r="E13" i="8"/>
  <c r="E12" i="8"/>
  <c r="E11" i="8"/>
  <c r="E10" i="8"/>
  <c r="E9" i="8"/>
  <c r="G4" i="10" l="1"/>
  <c r="G5" i="10" s="1"/>
  <c r="G6" i="10" s="1"/>
  <c r="G7" i="10" s="1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G18" i="10" s="1"/>
  <c r="G19" i="10" s="1"/>
  <c r="G20" i="10" s="1"/>
  <c r="E4" i="8"/>
  <c r="E5" i="8" s="1"/>
  <c r="E6" i="8" s="1"/>
  <c r="E7" i="8" s="1"/>
  <c r="E8" i="8" s="1"/>
  <c r="G13" i="9"/>
  <c r="G14" i="9" s="1"/>
  <c r="G15" i="9" s="1"/>
  <c r="G16" i="9" s="1"/>
  <c r="G17" i="9" s="1"/>
  <c r="G18" i="9" s="1"/>
  <c r="G19" i="9" s="1"/>
  <c r="G20" i="9" s="1"/>
  <c r="E4" i="9"/>
  <c r="E5" i="9" s="1"/>
  <c r="G13" i="8"/>
  <c r="G14" i="8" s="1"/>
  <c r="G15" i="8" s="1"/>
  <c r="G16" i="8" s="1"/>
  <c r="G17" i="8" s="1"/>
  <c r="G18" i="8" s="1"/>
  <c r="G19" i="8" s="1"/>
  <c r="G20" i="8" s="1"/>
  <c r="G21" i="10" l="1"/>
  <c r="M23" i="10"/>
  <c r="M23" i="9"/>
  <c r="G21" i="9"/>
  <c r="G21" i="8"/>
  <c r="M23" i="8"/>
</calcChain>
</file>

<file path=xl/sharedStrings.xml><?xml version="1.0" encoding="utf-8"?>
<sst xmlns="http://schemas.openxmlformats.org/spreadsheetml/2006/main" count="36" uniqueCount="24">
  <si>
    <t>Dagar i Sprint</t>
  </si>
  <si>
    <t>vecka</t>
  </si>
  <si>
    <t>Points done</t>
  </si>
  <si>
    <t>Points left</t>
  </si>
  <si>
    <t>Totalpoints</t>
  </si>
  <si>
    <t>Total points Backlog</t>
  </si>
  <si>
    <t>Trello</t>
  </si>
  <si>
    <t>Saved: 2019-12-19, kl. 13:42:31</t>
  </si>
  <si>
    <t>Points progress per day in Sprint 2</t>
  </si>
  <si>
    <t>Points progress per day in Sprint 3</t>
  </si>
  <si>
    <t>Saved: 2019-12-20, kl. 11:04:13</t>
  </si>
  <si>
    <t>Points progress per day in Sprint 0</t>
  </si>
  <si>
    <t>Add rec</t>
  </si>
  <si>
    <t>like knapp</t>
  </si>
  <si>
    <t>dislike knapp</t>
  </si>
  <si>
    <t>random rec</t>
  </si>
  <si>
    <t>git</t>
  </si>
  <si>
    <t>mellanmeny</t>
  </si>
  <si>
    <t>skala rec</t>
  </si>
  <si>
    <t>knapp mellanmeny</t>
  </si>
  <si>
    <t>design mellan</t>
  </si>
  <si>
    <t>add recept igen</t>
  </si>
  <si>
    <t>cleanup</t>
  </si>
  <si>
    <t>Saved: 2020-01-02, kl. 11:47:45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</si>
</sst>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10"/>
      <color rgb="FFFF0000"/>
      <name val="Calibri"/>
      <family val="2"/>
    </font>
    <font>
      <sz val="11"/>
      <color theme="0" tint="-0.34998626667073579"/>
      <name val="Calibri"/>
      <family val="2"/>
    </font>
    <font>
      <sz val="9"/>
      <color theme="0" tint="-0.34998626667073579"/>
      <name val="Calibri"/>
      <family val="2"/>
    </font>
    <font>
      <sz val="9"/>
      <color rgb="FFFF0000"/>
      <name val="Calibri"/>
      <family val="2"/>
    </font>
    <font>
      <u/>
      <sz val="11"/>
      <color theme="10"/>
      <name val="Calibri"/>
      <family val="2"/>
    </font>
    <font>
      <b/>
      <u/>
      <sz val="11"/>
      <color theme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FF"/>
        <bgColor indexed="64"/>
      </patternFill>
    </fill>
    <fill>
      <gradientFill degree="180"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14" fontId="3" fillId="3" borderId="1" xfId="0" applyNumberFormat="1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14" fontId="4" fillId="4" borderId="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6" borderId="12" xfId="0" applyNumberFormat="1" applyFill="1" applyBorder="1" applyAlignment="1">
      <alignment horizontal="center" vertical="center"/>
    </xf>
    <xf numFmtId="14" fontId="0" fillId="6" borderId="11" xfId="0" applyNumberFormat="1" applyFill="1" applyBorder="1" applyAlignment="1">
      <alignment horizontal="center" vertical="center"/>
    </xf>
    <xf numFmtId="14" fontId="0" fillId="6" borderId="8" xfId="0" applyNumberForma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0" fillId="8" borderId="0" xfId="0" applyFill="1" applyAlignment="1">
      <alignment vertical="center"/>
    </xf>
    <xf numFmtId="0" fontId="0" fillId="9" borderId="0" xfId="0" applyFill="1" applyAlignment="1">
      <alignment vertical="center"/>
    </xf>
    <xf numFmtId="0" fontId="2" fillId="0" borderId="5" xfId="0" applyFont="1" applyBorder="1" applyAlignment="1">
      <alignment horizontal="center" vertical="center"/>
    </xf>
  </cellXfs>
  <cellStyles count="2">
    <cellStyle name="Hyperlänk" xfId="1" builtinId="8"/>
    <cellStyle name="Normal" xfId="0" builtinId="0"/>
  </cellStyles>
  <dxfs count="0"/>
  <tableStyles count="0" defaultTableStyle="TableStyleMedium2" defaultPivotStyle="PivotStyleLight16"/>
  <colors>
    <mruColors>
      <color rgb="FF0033CC"/>
      <color rgb="FF008000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2'!$D$2:$G$2</c:f>
          <c:strCache>
            <c:ptCount val="4"/>
            <c:pt idx="0">
              <c:v>Points progress per day in Sprint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2'!$B$3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2'!$B$21</c:f>
              <c:numCache>
                <c:formatCode>General</c:formatCode>
                <c:ptCount val="1"/>
                <c:pt idx="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C5-48A2-832C-99E4E59267D7}"/>
            </c:ext>
          </c:extLst>
        </c:ser>
        <c:ser>
          <c:idx val="1"/>
          <c:order val="1"/>
          <c:tx>
            <c:strRef>
              <c:f>'Sprint 2'!$D$3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C5-48A2-832C-99E4E59267D7}"/>
            </c:ext>
          </c:extLst>
        </c:ser>
        <c:ser>
          <c:idx val="2"/>
          <c:order val="2"/>
          <c:tx>
            <c:strRef>
              <c:f>'Sprint 2'!$G$3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2'!$G$4:$G$8</c:f>
              <c:numCache>
                <c:formatCode>General</c:formatCode>
                <c:ptCount val="5"/>
                <c:pt idx="0">
                  <c:v>50</c:v>
                </c:pt>
                <c:pt idx="1">
                  <c:v>34</c:v>
                </c:pt>
                <c:pt idx="2">
                  <c:v>27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C5-48A2-832C-99E4E59267D7}"/>
            </c:ext>
          </c:extLst>
        </c:ser>
        <c:ser>
          <c:idx val="3"/>
          <c:order val="3"/>
          <c:tx>
            <c:strRef>
              <c:f>'Sprint 2'!$E$3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2'!$D$4:$D$8</c:f>
              <c:numCache>
                <c:formatCode>m/d/yyyy</c:formatCode>
                <c:ptCount val="5"/>
                <c:pt idx="0">
                  <c:v>43822</c:v>
                </c:pt>
                <c:pt idx="1">
                  <c:v>43826</c:v>
                </c:pt>
                <c:pt idx="2">
                  <c:v>43829</c:v>
                </c:pt>
                <c:pt idx="3">
                  <c:v>43832</c:v>
                </c:pt>
                <c:pt idx="4">
                  <c:v>43833</c:v>
                </c:pt>
              </c:numCache>
            </c:numRef>
          </c:cat>
          <c:val>
            <c:numRef>
              <c:f>'Sprint 2'!$E$4:$E$8</c:f>
              <c:numCache>
                <c:formatCode>General</c:formatCode>
                <c:ptCount val="5"/>
                <c:pt idx="0">
                  <c:v>50</c:v>
                </c:pt>
                <c:pt idx="1">
                  <c:v>38</c:v>
                </c:pt>
                <c:pt idx="2">
                  <c:v>25</c:v>
                </c:pt>
                <c:pt idx="3">
                  <c:v>13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C5-48A2-832C-99E4E5926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3'!$D$2:$G$2</c:f>
          <c:strCache>
            <c:ptCount val="4"/>
            <c:pt idx="0">
              <c:v>Points progress per day in Sprint 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3'!$B$3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F-459B-914F-32A2498ADC2D}"/>
            </c:ext>
          </c:extLst>
        </c:ser>
        <c:ser>
          <c:idx val="1"/>
          <c:order val="1"/>
          <c:tx>
            <c:strRef>
              <c:f>'Sprint 3'!$D$3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3F-459B-914F-32A2498ADC2D}"/>
            </c:ext>
          </c:extLst>
        </c:ser>
        <c:ser>
          <c:idx val="2"/>
          <c:order val="2"/>
          <c:tx>
            <c:strRef>
              <c:f>'Sprint 3'!$G$3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3'!$G$4:$G$8</c:f>
              <c:numCache>
                <c:formatCode>General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3F-459B-914F-32A2498ADC2D}"/>
            </c:ext>
          </c:extLst>
        </c:ser>
        <c:ser>
          <c:idx val="3"/>
          <c:order val="3"/>
          <c:tx>
            <c:strRef>
              <c:f>'Sprint 3'!$E$3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3'!$D$4:$D$8</c:f>
              <c:numCache>
                <c:formatCode>m/d/yyyy</c:formatCode>
                <c:ptCount val="5"/>
                <c:pt idx="0">
                  <c:v>43829</c:v>
                </c:pt>
                <c:pt idx="1">
                  <c:v>43833</c:v>
                </c:pt>
              </c:numCache>
            </c:numRef>
          </c:cat>
          <c:val>
            <c:numRef>
              <c:f>'Sprint 3'!$E$4:$E$8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3F-459B-914F-32A2498AD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'Sprint 0'!$D$2:$G$2</c:f>
          <c:strCache>
            <c:ptCount val="4"/>
            <c:pt idx="0">
              <c:v>Points progress per day in Sprint 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0'!$B$3</c:f>
              <c:strCache>
                <c:ptCount val="1"/>
                <c:pt idx="0">
                  <c:v>Total points Backlog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0'!$B$21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ED-4CBA-8093-104804551816}"/>
            </c:ext>
          </c:extLst>
        </c:ser>
        <c:ser>
          <c:idx val="1"/>
          <c:order val="1"/>
          <c:tx>
            <c:strRef>
              <c:f>'Sprint 0'!$D$3</c:f>
              <c:strCache>
                <c:ptCount val="1"/>
                <c:pt idx="0">
                  <c:v>Dagar i Sprint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ED-4CBA-8093-104804551816}"/>
            </c:ext>
          </c:extLst>
        </c:ser>
        <c:ser>
          <c:idx val="2"/>
          <c:order val="2"/>
          <c:tx>
            <c:strRef>
              <c:f>'Sprint 0'!$G$3</c:f>
              <c:strCache>
                <c:ptCount val="1"/>
                <c:pt idx="0">
                  <c:v>Points left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sv-S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0'!$G$4:$G$8</c:f>
              <c:numCache>
                <c:formatCode>General</c:formatCode>
                <c:ptCount val="5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ED-4CBA-8093-104804551816}"/>
            </c:ext>
          </c:extLst>
        </c:ser>
        <c:ser>
          <c:idx val="3"/>
          <c:order val="3"/>
          <c:tx>
            <c:strRef>
              <c:f>'Sprint 0'!$E$3</c:f>
              <c:strCache>
                <c:ptCount val="1"/>
                <c:pt idx="0">
                  <c:v>Totalpoints</c:v>
                </c:pt>
              </c:strCache>
            </c:strRef>
          </c:tx>
          <c:spPr>
            <a:ln w="254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'Sprint 0'!$D$4:$D$8</c:f>
              <c:numCache>
                <c:formatCode>m/d/yyyy</c:formatCode>
                <c:ptCount val="5"/>
                <c:pt idx="0">
                  <c:v>43809</c:v>
                </c:pt>
              </c:numCache>
            </c:numRef>
          </c:cat>
          <c:val>
            <c:numRef>
              <c:f>'Sprint 0'!$E$4:$E$8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ED-4CBA-8093-104804551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091536"/>
        <c:axId val="413097112"/>
      </c:lineChart>
      <c:catAx>
        <c:axId val="413091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 dd\ 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7112"/>
        <c:crosses val="autoZero"/>
        <c:auto val="0"/>
        <c:lblAlgn val="ctr"/>
        <c:lblOffset val="100"/>
        <c:noMultiLvlLbl val="0"/>
      </c:catAx>
      <c:valAx>
        <c:axId val="413097112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v-SE"/>
          </a:p>
        </c:txPr>
        <c:crossAx val="413091536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v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sv-S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16910EA3-C395-43BD-AF16-B363E6F75E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F4DB52B5-1031-42D7-A9B5-8999B09513BC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1181100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E41573A2-8326-4E4A-857D-6504B248E21C}"/>
            </a:ext>
          </a:extLst>
        </xdr:cNvPr>
        <xdr:cNvSpPr/>
      </xdr:nvSpPr>
      <xdr:spPr>
        <a:xfrm>
          <a:off x="259080" y="4023360"/>
          <a:ext cx="118110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2E62C301-4E7A-4684-84E3-5716DDDE1FC5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D3B69649-70B3-4E20-8F91-6CC6D7552AFC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Sprint 2 Retrospective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/>
            <a:t>Vad gjorde vi bra?:</a:t>
          </a:r>
        </a:p>
        <a:p>
          <a:endParaRPr lang="sv-SE" sz="1100"/>
        </a:p>
        <a:p>
          <a:endParaRPr lang="sv-SE" sz="1100"/>
        </a:p>
        <a:p>
          <a:r>
            <a:rPr lang="sv-SE" sz="1100"/>
            <a:t>-------------------------------------------------------------------</a:t>
          </a:r>
        </a:p>
        <a:p>
          <a:r>
            <a:rPr lang="sv-SE" sz="1100" b="1"/>
            <a:t>Vad vill vi förbättra?: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börja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sluta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34C21860-9857-4E25-82CD-B18D9BD64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56A1F8E3-BDF9-400F-9BBC-F99DC2B4B65E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1181100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52025356-E9EB-41E9-87F4-1392C5CEEA1C}"/>
            </a:ext>
          </a:extLst>
        </xdr:cNvPr>
        <xdr:cNvSpPr/>
      </xdr:nvSpPr>
      <xdr:spPr>
        <a:xfrm>
          <a:off x="259080" y="4023360"/>
          <a:ext cx="118110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E0567E74-AC36-4064-BFCC-B8C25AB510B6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B2D5ABB-4F00-47BA-8BEF-A1048B25F1C6}"/>
            </a:ext>
          </a:extLst>
        </xdr:cNvPr>
        <xdr:cNvSpPr txBox="1"/>
      </xdr:nvSpPr>
      <xdr:spPr>
        <a:xfrm>
          <a:off x="0" y="0"/>
          <a:ext cx="4876800" cy="512064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200" b="1"/>
            <a:t>Ronneby, Sprint3 Retrospektive</a:t>
          </a:r>
        </a:p>
        <a:p>
          <a:endParaRPr lang="sv-SE" sz="1100"/>
        </a:p>
        <a:p>
          <a:r>
            <a:rPr lang="sv-SE" sz="1100"/>
            <a:t>123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r>
            <a:rPr lang="sv-SE" sz="1100" b="1"/>
            <a:t>Vad gjorde vi bra?:</a:t>
          </a:r>
        </a:p>
        <a:p>
          <a:endParaRPr lang="sv-SE" sz="1100"/>
        </a:p>
        <a:p>
          <a:endParaRPr lang="sv-SE" sz="1100"/>
        </a:p>
        <a:p>
          <a:r>
            <a:rPr lang="sv-SE" sz="1100"/>
            <a:t>-------------------------------------------------------------------</a:t>
          </a:r>
        </a:p>
        <a:p>
          <a:r>
            <a:rPr lang="sv-SE" sz="1100" b="1"/>
            <a:t>Vad vill vi förbättra?: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börja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 sz="1100"/>
        </a:p>
        <a:p>
          <a:pPr marL="0" indent="0"/>
          <a:r>
            <a:rPr lang="sv-SE" sz="1100" b="1">
              <a:solidFill>
                <a:schemeClr val="dk1"/>
              </a:solidFill>
              <a:latin typeface="+mn-lt"/>
              <a:ea typeface="+mn-ea"/>
              <a:cs typeface="+mn-cs"/>
            </a:rPr>
            <a:t>Vad ska vi sluta med?:</a:t>
          </a:r>
        </a:p>
        <a:p>
          <a:endParaRPr lang="sv-SE" sz="1100"/>
        </a:p>
        <a:p>
          <a:endParaRPr lang="sv-SE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</a:t>
          </a:r>
          <a:endParaRPr lang="sv-SE">
            <a:effectLst/>
          </a:endParaRPr>
        </a:p>
        <a:p>
          <a:endParaRPr lang="sv-SE" sz="1100"/>
        </a:p>
        <a:p>
          <a:endParaRPr lang="sv-SE" sz="1100"/>
        </a:p>
        <a:p>
          <a:endParaRPr lang="sv-S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121920</xdr:colOff>
      <xdr:row>24</xdr:row>
      <xdr:rowOff>83820</xdr:rowOff>
    </xdr:from>
    <xdr:to>
      <xdr:col>20</xdr:col>
      <xdr:colOff>525780</xdr:colOff>
      <xdr:row>43</xdr:row>
      <xdr:rowOff>17145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8BFF7360-405A-4CE3-82B8-5BA5AB19B47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9900" y="4472940"/>
          <a:ext cx="5760720" cy="340804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8</xdr:col>
      <xdr:colOff>0</xdr:colOff>
      <xdr:row>2</xdr:row>
      <xdr:rowOff>0</xdr:rowOff>
    </xdr:from>
    <xdr:to>
      <xdr:col>17</xdr:col>
      <xdr:colOff>0</xdr:colOff>
      <xdr:row>21</xdr:row>
      <xdr:rowOff>0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D12891D4-3FB5-44F3-8567-BC62781FC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2</xdr:row>
      <xdr:rowOff>0</xdr:rowOff>
    </xdr:from>
    <xdr:to>
      <xdr:col>22</xdr:col>
      <xdr:colOff>0</xdr:colOff>
      <xdr:row>10</xdr:row>
      <xdr:rowOff>114300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F32D3A1-87F5-40CC-B514-D2421D4698FF}"/>
            </a:ext>
          </a:extLst>
        </xdr:cNvPr>
        <xdr:cNvSpPr txBox="1"/>
      </xdr:nvSpPr>
      <xdr:spPr>
        <a:xfrm>
          <a:off x="10751820" y="365760"/>
          <a:ext cx="2606040" cy="157734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sv-SE" sz="1400" b="1"/>
            <a:t>Scrum Master:</a:t>
          </a:r>
        </a:p>
        <a:p>
          <a:endParaRPr lang="sv-SE" sz="1200" b="1"/>
        </a:p>
        <a:p>
          <a:r>
            <a:rPr lang="sv-SE" sz="1200" b="1"/>
            <a:t>15 minuters möte varje dag:</a:t>
          </a:r>
        </a:p>
        <a:p>
          <a:r>
            <a:rPr lang="sv-SE" sz="1100"/>
            <a:t>Vad gjorde</a:t>
          </a:r>
          <a:r>
            <a:rPr lang="sv-SE" sz="1100" baseline="0"/>
            <a:t>s igår? </a:t>
          </a:r>
          <a:r>
            <a:rPr lang="sv-SE" sz="1100" baseline="0">
              <a:solidFill>
                <a:srgbClr val="FF0000"/>
              </a:solidFill>
            </a:rPr>
            <a:t>Uppdatera Total poäng!</a:t>
          </a:r>
        </a:p>
        <a:p>
          <a:r>
            <a:rPr lang="sv-SE" sz="1100" baseline="0"/>
            <a:t>Vad görs idag?</a:t>
          </a:r>
        </a:p>
        <a:p>
          <a:r>
            <a:rPr lang="sv-SE" sz="1100" baseline="0"/>
            <a:t>Några problem som stör?</a:t>
          </a:r>
        </a:p>
        <a:p>
          <a:r>
            <a:rPr lang="sv-SE" sz="1100" baseline="0"/>
            <a:t>Går allt enligt plan?</a:t>
          </a:r>
        </a:p>
      </xdr:txBody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2</xdr:col>
      <xdr:colOff>0</xdr:colOff>
      <xdr:row>25</xdr:row>
      <xdr:rowOff>0</xdr:rowOff>
    </xdr:to>
    <xdr:sp macro="[0]!setY_axel_MaximumValue" textlink="">
      <xdr:nvSpPr>
        <xdr:cNvPr id="5" name="Rektangel: rundade hörn 4">
          <a:extLst>
            <a:ext uri="{FF2B5EF4-FFF2-40B4-BE49-F238E27FC236}">
              <a16:creationId xmlns:a16="http://schemas.microsoft.com/office/drawing/2014/main" id="{3C667CAC-69C7-442D-B0B2-EE0566AF05E6}"/>
            </a:ext>
          </a:extLst>
        </xdr:cNvPr>
        <xdr:cNvSpPr/>
      </xdr:nvSpPr>
      <xdr:spPr>
        <a:xfrm>
          <a:off x="259080" y="4023360"/>
          <a:ext cx="1211580" cy="54864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000"/>
            <a:t>Update Total</a:t>
          </a:r>
          <a:r>
            <a:rPr lang="sv-SE" sz="1000" baseline="0"/>
            <a:t> p</a:t>
          </a:r>
          <a:r>
            <a:rPr lang="sv-SE" sz="1000"/>
            <a:t>oints in graph</a:t>
          </a:r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spara" textlink="">
      <xdr:nvSpPr>
        <xdr:cNvPr id="6" name="Rektangel: rundade hörn 5">
          <a:extLst>
            <a:ext uri="{FF2B5EF4-FFF2-40B4-BE49-F238E27FC236}">
              <a16:creationId xmlns:a16="http://schemas.microsoft.com/office/drawing/2014/main" id="{A285801B-4A53-468B-9EDD-F11A07D055BC}"/>
            </a:ext>
          </a:extLst>
        </xdr:cNvPr>
        <xdr:cNvSpPr/>
      </xdr:nvSpPr>
      <xdr:spPr>
        <a:xfrm>
          <a:off x="4869180" y="0"/>
          <a:ext cx="1219200" cy="182880"/>
        </a:xfrm>
        <a:prstGeom prst="roundRect">
          <a:avLst/>
        </a:prstGeom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sv-SE" sz="1100"/>
            <a:t>Save</a:t>
          </a:r>
        </a:p>
      </xdr:txBody>
    </xdr:sp>
    <xdr:clientData/>
  </xdr:twoCellAnchor>
  <xdr:twoCellAnchor>
    <xdr:from>
      <xdr:col>4</xdr:col>
      <xdr:colOff>167640</xdr:colOff>
      <xdr:row>21</xdr:row>
      <xdr:rowOff>99060</xdr:rowOff>
    </xdr:from>
    <xdr:to>
      <xdr:col>8</xdr:col>
      <xdr:colOff>198120</xdr:colOff>
      <xdr:row>27</xdr:row>
      <xdr:rowOff>99060</xdr:rowOff>
    </xdr:to>
    <xdr:sp macro="" textlink="">
      <xdr:nvSpPr>
        <xdr:cNvPr id="8" name="textruta 7">
          <a:extLst>
            <a:ext uri="{FF2B5EF4-FFF2-40B4-BE49-F238E27FC236}">
              <a16:creationId xmlns:a16="http://schemas.microsoft.com/office/drawing/2014/main" id="{30BEB88C-31A1-4F46-A8AC-4BBB6EA39D99}"/>
            </a:ext>
          </a:extLst>
        </xdr:cNvPr>
        <xdr:cNvSpPr txBox="1"/>
      </xdr:nvSpPr>
      <xdr:spPr>
        <a:xfrm>
          <a:off x="2705100" y="3939540"/>
          <a:ext cx="2362200" cy="1097280"/>
        </a:xfrm>
        <a:prstGeom prst="rect">
          <a:avLst/>
        </a:prstGeom>
        <a:solidFill>
          <a:schemeClr val="lt1"/>
        </a:solidFill>
        <a:ln w="19050" cmpd="sng">
          <a:solidFill>
            <a:schemeClr val="accent4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sv-SE" sz="1400" b="1"/>
            <a:t>MALL</a:t>
          </a:r>
          <a:endParaRPr lang="sv-SE" sz="1100" baseline="0"/>
        </a:p>
      </xdr:txBody>
    </xdr:sp>
    <xdr:clientData/>
  </xdr:twoCellAnchor>
  <xdr:twoCellAnchor>
    <xdr:from>
      <xdr:col>0</xdr:col>
      <xdr:colOff>91440</xdr:colOff>
      <xdr:row>7</xdr:row>
      <xdr:rowOff>53340</xdr:rowOff>
    </xdr:from>
    <xdr:to>
      <xdr:col>6</xdr:col>
      <xdr:colOff>251460</xdr:colOff>
      <xdr:row>15</xdr:row>
      <xdr:rowOff>30480</xdr:rowOff>
    </xdr:to>
    <xdr:sp macro="" textlink="">
      <xdr:nvSpPr>
        <xdr:cNvPr id="9" name="textruta 8">
          <a:extLst>
            <a:ext uri="{FF2B5EF4-FFF2-40B4-BE49-F238E27FC236}">
              <a16:creationId xmlns:a16="http://schemas.microsoft.com/office/drawing/2014/main" id="{3EC76FD2-922F-4924-BC30-011E79F4FD1D}"/>
            </a:ext>
          </a:extLst>
        </xdr:cNvPr>
        <xdr:cNvSpPr txBox="1"/>
      </xdr:nvSpPr>
      <xdr:spPr>
        <a:xfrm>
          <a:off x="91440" y="1333500"/>
          <a:ext cx="3992880" cy="14401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 kommer köra via teams i julhelgen och även måndagen den 30/12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Jag vill att ni innan måndag 30/1 mailar mig era burndowncharts.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Jag vill att ni mailar mig utfallet på ert retrospektive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gjorde ni bra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Vilka delar ska ni förbättra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ska ni börja med</a:t>
          </a:r>
          <a:b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sv-SE" sz="105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Vad ska ni sluta med</a:t>
          </a:r>
        </a:p>
        <a:p>
          <a:endParaRPr lang="sv-SE" sz="1050"/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rello.com/sv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trello.com/sv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trello.com/s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A4E80-AC9C-421A-9F46-1134CFFBCA3C}">
  <sheetPr codeName="Blad2">
    <tabColor rgb="FFFFFF00"/>
  </sheetPr>
  <dimension ref="A1:N23"/>
  <sheetViews>
    <sheetView showGridLines="0" tabSelected="1" workbookViewId="0">
      <selection activeCell="F25" sqref="F25"/>
    </sheetView>
  </sheetViews>
  <sheetFormatPr defaultRowHeight="14.4" x14ac:dyDescent="0.3"/>
  <cols>
    <col min="1" max="1" width="18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1:12" x14ac:dyDescent="0.3">
      <c r="B1" s="33" t="s">
        <v>6</v>
      </c>
      <c r="L1" s="34" t="s">
        <v>23</v>
      </c>
    </row>
    <row r="2" spans="1:12" x14ac:dyDescent="0.3">
      <c r="D2" s="37" t="s">
        <v>8</v>
      </c>
      <c r="E2" s="37"/>
      <c r="F2" s="37"/>
      <c r="G2" s="37"/>
    </row>
    <row r="3" spans="1:12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1:12" x14ac:dyDescent="0.3">
      <c r="A4" s="35" t="s">
        <v>12</v>
      </c>
      <c r="B4" s="14">
        <v>7</v>
      </c>
      <c r="D4" s="18">
        <v>43822</v>
      </c>
      <c r="E4" s="24">
        <f>B21</f>
        <v>50</v>
      </c>
      <c r="F4" s="10">
        <v>0</v>
      </c>
      <c r="G4" s="28">
        <f>IF($B$21&gt;=F4,$B$21-F4,"-")</f>
        <v>50</v>
      </c>
    </row>
    <row r="5" spans="1:12" x14ac:dyDescent="0.3">
      <c r="A5" s="35" t="s">
        <v>13</v>
      </c>
      <c r="B5" s="14">
        <v>3</v>
      </c>
      <c r="D5" s="19">
        <v>43826</v>
      </c>
      <c r="E5" s="25">
        <f>IF(D5&lt;&gt;"",IF(AND(ISNUMBER(D5),E4-(E4/COUNT(D5:$D$20))&gt;0),ROUND(E4-(E4/COUNT(D5:$D$20)),0),0),"-")</f>
        <v>38</v>
      </c>
      <c r="F5" s="11">
        <v>16</v>
      </c>
      <c r="G5" s="29">
        <f>IF(AND(ISNUMBER(D5),G4&lt;&gt;""),IF(AND(ISNUMBER(F5),G4-F5&gt;=0),G4-F5,G4),"-")</f>
        <v>34</v>
      </c>
    </row>
    <row r="6" spans="1:12" x14ac:dyDescent="0.3">
      <c r="A6" s="35" t="s">
        <v>14</v>
      </c>
      <c r="B6" s="14">
        <v>3</v>
      </c>
      <c r="D6" s="19">
        <v>43829</v>
      </c>
      <c r="E6" s="25">
        <f>IF(D6&lt;&gt;"",IF(AND(ISNUMBER(D6),E5-(E5/COUNT(D6:$D$20))&gt;0),ROUND(E5-(E5/COUNT(D6:$D$20)),0),0),"-")</f>
        <v>25</v>
      </c>
      <c r="F6" s="11">
        <v>7</v>
      </c>
      <c r="G6" s="29">
        <f t="shared" ref="G6:G20" si="0">IF(AND(ISNUMBER(D6),G5&lt;&gt;""),IF(AND(ISNUMBER(F6),G5-F6&gt;=0),G5-F6,G5),"-")</f>
        <v>27</v>
      </c>
    </row>
    <row r="7" spans="1:12" x14ac:dyDescent="0.3">
      <c r="A7" s="35" t="s">
        <v>15</v>
      </c>
      <c r="B7" s="14">
        <v>3</v>
      </c>
      <c r="D7" s="19">
        <v>43832</v>
      </c>
      <c r="E7" s="25">
        <f>IF(D7&lt;&gt;"",IF(AND(ISNUMBER(D7),E6-(E6/COUNT(D7:$D$20))&gt;0),ROUND(E6-(E6/COUNT(D7:$D$20)),0),0),"-")</f>
        <v>13</v>
      </c>
      <c r="F7" s="11">
        <v>17</v>
      </c>
      <c r="G7" s="29">
        <f t="shared" si="0"/>
        <v>10</v>
      </c>
    </row>
    <row r="8" spans="1:12" x14ac:dyDescent="0.3">
      <c r="A8" s="35" t="s">
        <v>16</v>
      </c>
      <c r="B8" s="14">
        <v>7</v>
      </c>
      <c r="D8" s="19">
        <v>43833</v>
      </c>
      <c r="E8" s="25">
        <f>IF(D8&lt;&gt;"",IF(AND(ISNUMBER(D8),E7-(E7/COUNT(D8:$D$20))&gt;0),ROUND(E7-(E7/COUNT(D8:$D$20)),0),0),"-")</f>
        <v>0</v>
      </c>
      <c r="F8" s="11"/>
      <c r="G8" s="29">
        <f t="shared" si="0"/>
        <v>10</v>
      </c>
    </row>
    <row r="9" spans="1:12" x14ac:dyDescent="0.3">
      <c r="A9" s="35" t="s">
        <v>17</v>
      </c>
      <c r="B9" s="14">
        <v>7</v>
      </c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1:12" x14ac:dyDescent="0.3">
      <c r="A10" s="35" t="s">
        <v>18</v>
      </c>
      <c r="B10" s="14">
        <v>8</v>
      </c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1:12" x14ac:dyDescent="0.3">
      <c r="A11" s="36" t="s">
        <v>19</v>
      </c>
      <c r="B11" s="14">
        <v>3</v>
      </c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1:12" x14ac:dyDescent="0.3">
      <c r="A12" s="36" t="s">
        <v>20</v>
      </c>
      <c r="B12" s="14">
        <v>2</v>
      </c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1:12" x14ac:dyDescent="0.3">
      <c r="A13" s="36" t="s">
        <v>21</v>
      </c>
      <c r="B13" s="14">
        <v>5</v>
      </c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1:12" x14ac:dyDescent="0.3">
      <c r="A14" s="35" t="s">
        <v>22</v>
      </c>
      <c r="B14" s="14">
        <v>2</v>
      </c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1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1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50</v>
      </c>
      <c r="D21" s="21" t="str">
        <f>COUNT(D4:D20) &amp; " dgr"</f>
        <v>5 dgr</v>
      </c>
      <c r="E21" s="2"/>
      <c r="F21" s="16">
        <f>SUM(F4:F20)</f>
        <v>40</v>
      </c>
      <c r="G21" s="2">
        <f>LOOKUP(9.99999999999999E+307,G4:G20)</f>
        <v>10</v>
      </c>
    </row>
    <row r="23" spans="2:14" x14ac:dyDescent="0.3">
      <c r="L23" s="31"/>
      <c r="M23" s="32" t="str">
        <f>LOOKUP(9.99999999999999E+307,G4:G20) &amp; " points left!"</f>
        <v>10 points left!</v>
      </c>
      <c r="N23" s="31"/>
    </row>
  </sheetData>
  <sheetProtection formatCells="0"/>
  <mergeCells count="1">
    <mergeCell ref="D2:G2"/>
  </mergeCells>
  <dataValidations count="1">
    <dataValidation allowBlank="1" showErrorMessage="1" sqref="B21" xr:uid="{14F2F81C-F7FD-455F-B2B4-F37A28833CD6}"/>
  </dataValidations>
  <hyperlinks>
    <hyperlink ref="B1" r:id="rId1" tooltip="Logga in på Trello ..." xr:uid="{47B77AC5-800F-435D-A749-21F50636861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9D026-AFE3-45F5-B5BE-A3AC8B98D666}">
  <sheetPr codeName="Blad6">
    <tabColor rgb="FFFFFF00"/>
  </sheetPr>
  <dimension ref="A1"/>
  <sheetViews>
    <sheetView workbookViewId="0">
      <selection activeCell="D26" sqref="D26"/>
    </sheetView>
  </sheetViews>
  <sheetFormatPr defaultRowHeight="14.4" x14ac:dyDescent="0.3"/>
  <sheetData/>
  <sheetProtection sheet="1" objects="1" scenarios="1" formatCell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856C5-3920-4213-A451-56E12FEE4BB1}">
  <sheetPr codeName="Blad3">
    <tabColor rgb="FF0033CC"/>
  </sheetPr>
  <dimension ref="B1:N23"/>
  <sheetViews>
    <sheetView showGridLines="0" workbookViewId="0">
      <selection activeCell="D26" sqref="D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12" x14ac:dyDescent="0.3">
      <c r="B1" s="33" t="s">
        <v>6</v>
      </c>
      <c r="L1" s="34" t="s">
        <v>7</v>
      </c>
    </row>
    <row r="2" spans="2:12" x14ac:dyDescent="0.3">
      <c r="D2" s="37" t="s">
        <v>9</v>
      </c>
      <c r="E2" s="37"/>
      <c r="F2" s="37"/>
      <c r="G2" s="37"/>
    </row>
    <row r="3" spans="2:12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12" x14ac:dyDescent="0.3">
      <c r="B4" s="13">
        <v>10</v>
      </c>
      <c r="D4" s="18">
        <v>43829</v>
      </c>
      <c r="E4" s="24">
        <f>B21</f>
        <v>10</v>
      </c>
      <c r="F4" s="10"/>
      <c r="G4" s="28">
        <f>IF($B$21&gt;=F4,$B$21-F4,"-")</f>
        <v>10</v>
      </c>
    </row>
    <row r="5" spans="2:12" x14ac:dyDescent="0.3">
      <c r="B5" s="14"/>
      <c r="D5" s="19">
        <v>43833</v>
      </c>
      <c r="E5" s="25">
        <f>IF(D5&lt;&gt;"",IF(AND(ISNUMBER(D5),E4-(E4/COUNT(D5:$D$20))&gt;0),ROUND(E4-(E4/COUNT(D5:$D$20)),0),0),"-")</f>
        <v>0</v>
      </c>
      <c r="F5" s="11"/>
      <c r="G5" s="29">
        <f>IF(AND(ISNUMBER(D5),G4&lt;&gt;""),IF(AND(ISNUMBER(F5),G4-F5&gt;=0),G4-F5,G4),"-")</f>
        <v>10</v>
      </c>
    </row>
    <row r="6" spans="2:12" x14ac:dyDescent="0.3">
      <c r="B6" s="14"/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12" x14ac:dyDescent="0.3">
      <c r="B7" s="14"/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12" x14ac:dyDescent="0.3">
      <c r="B8" s="14"/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12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12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12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12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</row>
    <row r="13" spans="2:12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</row>
    <row r="14" spans="2:12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</row>
    <row r="15" spans="2:12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</row>
    <row r="16" spans="2:12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</row>
    <row r="17" spans="2:14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</row>
    <row r="18" spans="2:14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</row>
    <row r="19" spans="2:14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</row>
    <row r="20" spans="2:14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</row>
    <row r="21" spans="2:14" x14ac:dyDescent="0.3">
      <c r="B21" s="22">
        <f>SUM(B4:B20)</f>
        <v>10</v>
      </c>
      <c r="D21" s="21" t="str">
        <f>COUNT(D4:D20) &amp; " dgr"</f>
        <v>2 dgr</v>
      </c>
      <c r="E21" s="2"/>
      <c r="F21" s="16">
        <f>SUM(F4:F20)</f>
        <v>0</v>
      </c>
      <c r="G21" s="2">
        <f>LOOKUP(9.99999999999999E+307,G4:G20)</f>
        <v>10</v>
      </c>
    </row>
    <row r="23" spans="2:14" x14ac:dyDescent="0.3">
      <c r="L23" s="31"/>
      <c r="M23" s="32" t="str">
        <f>LOOKUP(9.99999999999999E+307,G4:G20) &amp; " points left!"</f>
        <v>10 points left!</v>
      </c>
      <c r="N23" s="31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490C2BD4-CDE7-4E70-8D95-C0ECC5913FCE}"/>
  </dataValidations>
  <hyperlinks>
    <hyperlink ref="B1" r:id="rId1" tooltip="Logga in på Trello ..." xr:uid="{7FEDE051-AF78-47D1-8018-128C4C6078BB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A8C22-14E5-4356-A715-352AEEFE8168}">
  <sheetPr codeName="Blad7">
    <tabColor rgb="FF0033CC"/>
  </sheetPr>
  <dimension ref="A1"/>
  <sheetViews>
    <sheetView workbookViewId="0">
      <selection activeCell="D26" sqref="D26"/>
    </sheetView>
  </sheetViews>
  <sheetFormatPr defaultRowHeight="14.4" x14ac:dyDescent="0.3"/>
  <sheetData/>
  <sheetProtection sheet="1" objects="1" scenarios="1" formatCells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0843A-1264-4B6C-B962-500F4B4AFA92}">
  <sheetPr codeName="Blad4"/>
  <dimension ref="B1:T25"/>
  <sheetViews>
    <sheetView showGridLines="0" workbookViewId="0">
      <selection activeCell="D26" sqref="D26"/>
    </sheetView>
  </sheetViews>
  <sheetFormatPr defaultRowHeight="14.4" x14ac:dyDescent="0.3"/>
  <cols>
    <col min="1" max="1" width="3.77734375" style="1" customWidth="1"/>
    <col min="2" max="2" width="17.6640625" style="1" bestFit="1" customWidth="1"/>
    <col min="3" max="3" width="3.77734375" style="1" customWidth="1"/>
    <col min="4" max="4" width="11.77734375" style="1" bestFit="1" customWidth="1"/>
    <col min="5" max="5" width="8.44140625" style="1" bestFit="1" customWidth="1"/>
    <col min="6" max="6" width="10.44140625" style="1" bestFit="1" customWidth="1"/>
    <col min="7" max="7" width="9.33203125" style="1" customWidth="1"/>
    <col min="8" max="8" width="5.77734375" style="1" customWidth="1"/>
    <col min="9" max="9" width="8.88671875" style="1" customWidth="1"/>
    <col min="10" max="17" width="8.88671875" style="1"/>
    <col min="18" max="18" width="5.77734375" style="1" customWidth="1"/>
    <col min="19" max="19" width="8.88671875" style="1"/>
    <col min="20" max="21" width="10.109375" style="1" bestFit="1" customWidth="1"/>
    <col min="22" max="16384" width="8.88671875" style="1"/>
  </cols>
  <sheetData>
    <row r="1" spans="2:20" x14ac:dyDescent="0.3">
      <c r="B1" s="33" t="s">
        <v>6</v>
      </c>
      <c r="L1" s="34" t="s">
        <v>10</v>
      </c>
    </row>
    <row r="2" spans="2:20" x14ac:dyDescent="0.3">
      <c r="D2" s="37" t="s">
        <v>11</v>
      </c>
      <c r="E2" s="37"/>
      <c r="F2" s="37"/>
      <c r="G2" s="37"/>
    </row>
    <row r="3" spans="2:20" x14ac:dyDescent="0.3">
      <c r="B3" s="17" t="s">
        <v>5</v>
      </c>
      <c r="D3" s="17" t="s">
        <v>0</v>
      </c>
      <c r="E3" s="23" t="s">
        <v>4</v>
      </c>
      <c r="F3" s="12" t="s">
        <v>2</v>
      </c>
      <c r="G3" s="27" t="s">
        <v>3</v>
      </c>
    </row>
    <row r="4" spans="2:20" x14ac:dyDescent="0.3">
      <c r="B4" s="13">
        <v>10</v>
      </c>
      <c r="D4" s="18">
        <v>43809</v>
      </c>
      <c r="E4" s="24">
        <f>B21</f>
        <v>10</v>
      </c>
      <c r="F4" s="10">
        <v>1</v>
      </c>
      <c r="G4" s="28">
        <f>IF($B$21&gt;=F4,$B$21-F4,"-")</f>
        <v>9</v>
      </c>
    </row>
    <row r="5" spans="2:20" x14ac:dyDescent="0.3">
      <c r="B5" s="14"/>
      <c r="D5" s="19"/>
      <c r="E5" s="25" t="str">
        <f>IF(D5&lt;&gt;"",IF(AND(ISNUMBER(D5),E4-(E4/COUNT(D5:$D$20))&gt;0),ROUND(E4-(E4/COUNT(D5:$D$20)),0),0),"-")</f>
        <v>-</v>
      </c>
      <c r="F5" s="11"/>
      <c r="G5" s="29" t="str">
        <f>IF(AND(ISNUMBER(D5),G4&lt;&gt;""),IF(AND(ISNUMBER(F5),G4-F5&gt;=0),G4-F5,G4),"-")</f>
        <v>-</v>
      </c>
    </row>
    <row r="6" spans="2:20" x14ac:dyDescent="0.3">
      <c r="B6" s="14"/>
      <c r="D6" s="19"/>
      <c r="E6" s="25" t="str">
        <f>IF(D6&lt;&gt;"",IF(AND(ISNUMBER(D6),E5-(E5/COUNT(D6:$D$20))&gt;0),ROUND(E5-(E5/COUNT(D6:$D$20)),0),0),"-")</f>
        <v>-</v>
      </c>
      <c r="F6" s="11"/>
      <c r="G6" s="29" t="str">
        <f t="shared" ref="G6:G20" si="0">IF(AND(ISNUMBER(D6),G5&lt;&gt;""),IF(AND(ISNUMBER(F6),G5-F6&gt;=0),G5-F6,G5),"-")</f>
        <v>-</v>
      </c>
    </row>
    <row r="7" spans="2:20" x14ac:dyDescent="0.3">
      <c r="B7" s="14"/>
      <c r="D7" s="19"/>
      <c r="E7" s="25" t="str">
        <f>IF(D7&lt;&gt;"",IF(AND(ISNUMBER(D7),E6-(E6/COUNT(D7:$D$20))&gt;0),ROUND(E6-(E6/COUNT(D7:$D$20)),0),0),"-")</f>
        <v>-</v>
      </c>
      <c r="F7" s="11"/>
      <c r="G7" s="29" t="str">
        <f t="shared" si="0"/>
        <v>-</v>
      </c>
    </row>
    <row r="8" spans="2:20" x14ac:dyDescent="0.3">
      <c r="B8" s="14"/>
      <c r="D8" s="19"/>
      <c r="E8" s="25" t="str">
        <f>IF(D8&lt;&gt;"",IF(AND(ISNUMBER(D8),E7-(E7/COUNT(D8:$D$20))&gt;0),ROUND(E7-(E7/COUNT(D8:$D$20)),0),0),"-")</f>
        <v>-</v>
      </c>
      <c r="F8" s="11"/>
      <c r="G8" s="29" t="str">
        <f t="shared" si="0"/>
        <v>-</v>
      </c>
    </row>
    <row r="9" spans="2:20" x14ac:dyDescent="0.3">
      <c r="B9" s="14"/>
      <c r="D9" s="19"/>
      <c r="E9" s="25" t="str">
        <f>IF(D9&lt;&gt;"",IF(AND(ISNUMBER(D9),E8-(E8/COUNT(D9:$D$20))&gt;0),ROUND(E8-(E8/COUNT(D9:$D$20)),0),0),"-")</f>
        <v>-</v>
      </c>
      <c r="F9" s="11"/>
      <c r="G9" s="29" t="str">
        <f t="shared" si="0"/>
        <v>-</v>
      </c>
    </row>
    <row r="10" spans="2:20" x14ac:dyDescent="0.3">
      <c r="B10" s="14"/>
      <c r="D10" s="19"/>
      <c r="E10" s="25" t="str">
        <f>IF(D10&lt;&gt;"",IF(AND(ISNUMBER(D10),E9-(E9/COUNT(D10:$D$20))&gt;0),ROUND(E9-(E9/COUNT(D10:$D$20)),0),0),"-")</f>
        <v>-</v>
      </c>
      <c r="F10" s="11"/>
      <c r="G10" s="29" t="str">
        <f t="shared" si="0"/>
        <v>-</v>
      </c>
    </row>
    <row r="11" spans="2:20" x14ac:dyDescent="0.3">
      <c r="B11" s="14"/>
      <c r="D11" s="19"/>
      <c r="E11" s="25" t="str">
        <f>IF(D11&lt;&gt;"",IF(AND(ISNUMBER(D11),E10-(E10/COUNT(D11:$D$20))&gt;0),ROUND(E10-(E10/COUNT(D11:$D$20)),0),0),"-")</f>
        <v>-</v>
      </c>
      <c r="F11" s="11"/>
      <c r="G11" s="29" t="str">
        <f t="shared" si="0"/>
        <v>-</v>
      </c>
    </row>
    <row r="12" spans="2:20" x14ac:dyDescent="0.3">
      <c r="B12" s="14"/>
      <c r="D12" s="19"/>
      <c r="E12" s="25" t="str">
        <f>IF(D12&lt;&gt;"",IF(AND(ISNUMBER(D12),E11-(E11/COUNT(D12:$D$20))&gt;0),ROUND(E11-(E11/COUNT(D12:$D$20)),0),0),"-")</f>
        <v>-</v>
      </c>
      <c r="F12" s="11"/>
      <c r="G12" s="29" t="str">
        <f t="shared" si="0"/>
        <v>-</v>
      </c>
      <c r="S12" s="1" t="s">
        <v>1</v>
      </c>
    </row>
    <row r="13" spans="2:20" x14ac:dyDescent="0.3">
      <c r="B13" s="14"/>
      <c r="D13" s="19"/>
      <c r="E13" s="25" t="str">
        <f>IF(D13&lt;&gt;"",IF(AND(ISNUMBER(D13),E12-(E12/COUNT(D13:$D$20))&gt;0),ROUND(E12-(E12/COUNT(D13:$D$20)),0),0),"-")</f>
        <v>-</v>
      </c>
      <c r="F13" s="11"/>
      <c r="G13" s="29" t="str">
        <f t="shared" si="0"/>
        <v>-</v>
      </c>
      <c r="S13" s="6">
        <v>50</v>
      </c>
      <c r="T13" s="7">
        <v>43809</v>
      </c>
    </row>
    <row r="14" spans="2:20" x14ac:dyDescent="0.3">
      <c r="B14" s="14"/>
      <c r="D14" s="19"/>
      <c r="E14" s="25" t="str">
        <f>IF(D14&lt;&gt;"",IF(AND(ISNUMBER(D14),E13-(E13/COUNT(D14:$D$20))&gt;0),ROUND(E13-(E13/COUNT(D14:$D$20)),0),0),"-")</f>
        <v>-</v>
      </c>
      <c r="F14" s="11"/>
      <c r="G14" s="29" t="str">
        <f t="shared" si="0"/>
        <v>-</v>
      </c>
      <c r="S14" s="6">
        <v>50</v>
      </c>
      <c r="T14" s="7">
        <v>43811</v>
      </c>
    </row>
    <row r="15" spans="2:20" x14ac:dyDescent="0.3">
      <c r="B15" s="14"/>
      <c r="D15" s="19"/>
      <c r="E15" s="25" t="str">
        <f>IF(D15&lt;&gt;"",IF(AND(ISNUMBER(D15),E14-(E14/COUNT(D15:$D$20))&gt;0),ROUND(E14-(E14/COUNT(D15:$D$20)),0),0),"-")</f>
        <v>-</v>
      </c>
      <c r="F15" s="11"/>
      <c r="G15" s="29" t="str">
        <f t="shared" si="0"/>
        <v>-</v>
      </c>
      <c r="S15" s="6">
        <v>51</v>
      </c>
      <c r="T15" s="7">
        <v>43816</v>
      </c>
    </row>
    <row r="16" spans="2:20" x14ac:dyDescent="0.3">
      <c r="B16" s="14"/>
      <c r="D16" s="19"/>
      <c r="E16" s="25" t="str">
        <f>IF(D16&lt;&gt;"",IF(AND(ISNUMBER(D16),E15-(E15/COUNT(D16:$D$20))&gt;0),ROUND(E15-(E15/COUNT(D16:$D$20)),0),0),"-")</f>
        <v>-</v>
      </c>
      <c r="F16" s="11"/>
      <c r="G16" s="29" t="str">
        <f t="shared" si="0"/>
        <v>-</v>
      </c>
      <c r="S16" s="6">
        <v>51</v>
      </c>
      <c r="T16" s="7">
        <v>43817</v>
      </c>
    </row>
    <row r="17" spans="2:20" x14ac:dyDescent="0.3">
      <c r="B17" s="14"/>
      <c r="D17" s="19"/>
      <c r="E17" s="25" t="str">
        <f>IF(D17&lt;&gt;"",IF(AND(ISNUMBER(D17),E16-(E16/COUNT(D17:$D$20))&gt;0),ROUND(E16-(E16/COUNT(D17:$D$20)),0),0),"-")</f>
        <v>-</v>
      </c>
      <c r="F17" s="11"/>
      <c r="G17" s="29" t="str">
        <f t="shared" si="0"/>
        <v>-</v>
      </c>
      <c r="S17" s="4">
        <v>51</v>
      </c>
      <c r="T17" s="5">
        <v>43819</v>
      </c>
    </row>
    <row r="18" spans="2:20" x14ac:dyDescent="0.3">
      <c r="B18" s="14"/>
      <c r="D18" s="19"/>
      <c r="E18" s="25" t="str">
        <f>IF(D18&lt;&gt;"",IF(AND(ISNUMBER(D18),E17-(E17/COUNT(D18:$D$20))&gt;0),ROUND(E17-(E17/COUNT(D18:$D$20)),0),0),"-")</f>
        <v>-</v>
      </c>
      <c r="F18" s="11"/>
      <c r="G18" s="29" t="str">
        <f t="shared" si="0"/>
        <v>-</v>
      </c>
      <c r="S18" s="4">
        <v>52</v>
      </c>
      <c r="T18" s="5">
        <v>43822</v>
      </c>
    </row>
    <row r="19" spans="2:20" x14ac:dyDescent="0.3">
      <c r="B19" s="14"/>
      <c r="D19" s="19"/>
      <c r="E19" s="25" t="str">
        <f>IF(D19&lt;&gt;"",IF(AND(ISNUMBER(D19),E18-(E18/COUNT(D19:$D$20))&gt;0),ROUND(E18-(E18/COUNT(D19:$D$20)),0),0),"-")</f>
        <v>-</v>
      </c>
      <c r="F19" s="11"/>
      <c r="G19" s="29" t="str">
        <f t="shared" si="0"/>
        <v>-</v>
      </c>
      <c r="S19" s="4">
        <v>52</v>
      </c>
      <c r="T19" s="5">
        <v>43826</v>
      </c>
    </row>
    <row r="20" spans="2:20" x14ac:dyDescent="0.3">
      <c r="B20" s="15"/>
      <c r="D20" s="20"/>
      <c r="E20" s="26" t="str">
        <f>IF(D20&lt;&gt;"",IF(AND(ISNUMBER(D20),E19-(E19/COUNT(D20:$D$20))&gt;0),ROUND(E19-(E19/COUNT(D20:$D$20)),0),0),"-")</f>
        <v>-</v>
      </c>
      <c r="F20" s="15"/>
      <c r="G20" s="30" t="str">
        <f t="shared" si="0"/>
        <v>-</v>
      </c>
      <c r="S20" s="8">
        <v>1</v>
      </c>
      <c r="T20" s="9">
        <v>43829</v>
      </c>
    </row>
    <row r="21" spans="2:20" x14ac:dyDescent="0.3">
      <c r="B21" s="22">
        <f>SUM(B4:B20)</f>
        <v>10</v>
      </c>
      <c r="D21" s="21" t="str">
        <f>COUNT(D4:D20) &amp; " dgr"</f>
        <v>1 dgr</v>
      </c>
      <c r="E21" s="2"/>
      <c r="F21" s="16">
        <f>SUM(F4:F20)</f>
        <v>1</v>
      </c>
      <c r="G21" s="2">
        <f>LOOKUP(9.99999999999999E+307,G4:G20)</f>
        <v>9</v>
      </c>
      <c r="S21" s="8">
        <v>1</v>
      </c>
      <c r="T21" s="9">
        <v>43833</v>
      </c>
    </row>
    <row r="22" spans="2:20" x14ac:dyDescent="0.3">
      <c r="S22" s="1">
        <v>2</v>
      </c>
      <c r="T22" s="3">
        <v>43838</v>
      </c>
    </row>
    <row r="23" spans="2:20" x14ac:dyDescent="0.3">
      <c r="L23" s="31"/>
      <c r="M23" s="32" t="str">
        <f>LOOKUP(9.99999999999999E+307,G4:G20) &amp; " points left!"</f>
        <v>9 points left!</v>
      </c>
      <c r="N23" s="31"/>
      <c r="S23" s="1">
        <v>2</v>
      </c>
      <c r="T23" s="3">
        <v>43839</v>
      </c>
    </row>
    <row r="24" spans="2:20" x14ac:dyDescent="0.3">
      <c r="S24" s="1">
        <v>2</v>
      </c>
      <c r="T24" s="3">
        <v>43840</v>
      </c>
    </row>
    <row r="25" spans="2:20" x14ac:dyDescent="0.3">
      <c r="T25" s="3"/>
    </row>
  </sheetData>
  <sheetProtection sheet="1" objects="1" scenarios="1" formatCells="0"/>
  <mergeCells count="1">
    <mergeCell ref="D2:G2"/>
  </mergeCells>
  <dataValidations count="1">
    <dataValidation allowBlank="1" showErrorMessage="1" sqref="B21" xr:uid="{B00A97D0-B2A9-4C6C-BCCE-F76BB359663A}"/>
  </dataValidations>
  <hyperlinks>
    <hyperlink ref="B1" r:id="rId1" tooltip="Logga in på Trello ..." xr:uid="{DA94A8A7-AF71-4AA1-98D4-9D09618777E9}"/>
  </hyperlinks>
  <pageMargins left="0.7" right="0.7" top="0.75" bottom="0.75" header="0.3" footer="0.3"/>
  <pageSetup orientation="portrait" r:id="rId2"/>
  <ignoredErrors>
    <ignoredError sqref="E5:E20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5</vt:i4>
      </vt:variant>
      <vt:variant>
        <vt:lpstr>Namngivna områden</vt:lpstr>
      </vt:variant>
      <vt:variant>
        <vt:i4>6</vt:i4>
      </vt:variant>
    </vt:vector>
  </HeadingPairs>
  <TitlesOfParts>
    <vt:vector size="11" baseType="lpstr">
      <vt:lpstr>Sprint 2</vt:lpstr>
      <vt:lpstr>RetrospectiveSprint2</vt:lpstr>
      <vt:lpstr>Sprint 3</vt:lpstr>
      <vt:lpstr>RetrospektiveSprint3</vt:lpstr>
      <vt:lpstr>Sprint 0</vt:lpstr>
      <vt:lpstr>'Sprint 0'!lastSaved</vt:lpstr>
      <vt:lpstr>'Sprint 2'!lastSaved</vt:lpstr>
      <vt:lpstr>'Sprint 3'!lastSaved</vt:lpstr>
      <vt:lpstr>'Sprint 0'!totalPointsCell</vt:lpstr>
      <vt:lpstr>'Sprint 2'!totalPointsCell</vt:lpstr>
      <vt:lpstr>'Sprint 3'!totalPointsCell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Sundberg</dc:creator>
  <cp:lastModifiedBy>Loffe Knutsson</cp:lastModifiedBy>
  <dcterms:created xsi:type="dcterms:W3CDTF">2019-12-18T09:13:55Z</dcterms:created>
  <dcterms:modified xsi:type="dcterms:W3CDTF">2020-01-02T10:47:45Z</dcterms:modified>
</cp:coreProperties>
</file>